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stu\sem6\TPO\code\Lab02\"/>
    </mc:Choice>
  </mc:AlternateContent>
  <xr:revisionPtr revIDLastSave="0" documentId="13_ncr:1_{63D5A57F-EABB-4C77-A83C-FF35C28299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eb Testing 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" i="1" l="1"/>
  <c r="D106" i="1"/>
  <c r="D105" i="1"/>
  <c r="D104" i="1"/>
  <c r="D103" i="1"/>
</calcChain>
</file>

<file path=xl/sharedStrings.xml><?xml version="1.0" encoding="utf-8"?>
<sst xmlns="http://schemas.openxmlformats.org/spreadsheetml/2006/main" count="450" uniqueCount="234">
  <si>
    <t>Category</t>
  </si>
  <si>
    <t>ID</t>
  </si>
  <si>
    <t>Test Description</t>
  </si>
  <si>
    <t>Status</t>
  </si>
  <si>
    <t>Comments</t>
  </si>
  <si>
    <t>Reference / Notes</t>
  </si>
  <si>
    <t>Functional</t>
  </si>
  <si>
    <t>WEB-F-REG-1</t>
  </si>
  <si>
    <t>Forms - Registration: пользователь с данными существует в системе</t>
  </si>
  <si>
    <t>Not tested</t>
  </si>
  <si>
    <t>WEB-F-REG-2</t>
  </si>
  <si>
    <t>Forms - Registration: пользователь с данными не существует в системе</t>
  </si>
  <si>
    <t>WEB-F-REG-3</t>
  </si>
  <si>
    <t>Forms - Registration: заблокированный пользователь не может зарегистрироваться повторно</t>
  </si>
  <si>
    <t>WEB-F-AUTH-1</t>
  </si>
  <si>
    <t>Authorization: валидные логин/пароль проходят авторизацию</t>
  </si>
  <si>
    <t>WEB-F-AUTH-2</t>
  </si>
  <si>
    <t>Authorization: несуществующий логин</t>
  </si>
  <si>
    <t>WEB-F-AUTH-3</t>
  </si>
  <si>
    <t>Authorization: неверный пароль для существующего логина</t>
  </si>
  <si>
    <t>WEB-F-AUTH-4</t>
  </si>
  <si>
    <t>Authorization: заблокированный пользователь не может войти</t>
  </si>
  <si>
    <t>WEB-F-VAL-1</t>
  </si>
  <si>
    <t>Validation: проверка обязательных полей (empty / filled)</t>
  </si>
  <si>
    <t>WEB-F-VAL-2</t>
  </si>
  <si>
    <t>Validation: максимальная и минимальная длина полей</t>
  </si>
  <si>
    <t>WEB-F-VAL-3</t>
  </si>
  <si>
    <t>Validation: допустимые символы и спецсимволы</t>
  </si>
  <si>
    <t>WEB-F-VAL-4</t>
  </si>
  <si>
    <t>Validation: астериск у обязательных полей отображается</t>
  </si>
  <si>
    <t>WEB-F-VAL-5</t>
  </si>
  <si>
    <t>Validation: отсутствие ошибок при пустых необязательных полях</t>
  </si>
  <si>
    <t>WEB-F-FB-1</t>
  </si>
  <si>
    <t>Feedback forms: отправка / ошибки / пустые поля</t>
  </si>
  <si>
    <t>WEB-F-LINK-1</t>
  </si>
  <si>
    <t>Links: ссылки на пользовательские соглашения открываются корректно</t>
  </si>
  <si>
    <t>WEB-F-SEARCH-1</t>
  </si>
  <si>
    <t>Search: результаты существуют / не существуют</t>
  </si>
  <si>
    <t>WEB-F-SEARCH-2</t>
  </si>
  <si>
    <t>Search: корректное сообщение о пустом результате</t>
  </si>
  <si>
    <t>WEB-F-SEARCH-3</t>
  </si>
  <si>
    <t>Search: пустой поисковый запрос</t>
  </si>
  <si>
    <t>WEB-F-SEARCH-4</t>
  </si>
  <si>
    <t>Search: поиск по эмодзи</t>
  </si>
  <si>
    <t>WEB-F-FLD-1</t>
  </si>
  <si>
    <t>Fields - numeric: не принимают буквы, показывают ошибку</t>
  </si>
  <si>
    <t>WEB-F-FLD-2</t>
  </si>
  <si>
    <t>Fields - numeric: дробные значения и разделители (1.1 vs 1,1)</t>
  </si>
  <si>
    <t>WEB-F-FLD-3</t>
  </si>
  <si>
    <t>Fields - numeric: поддержка отрицательных значений (если разрешены)</t>
  </si>
  <si>
    <t>WEB-F-FLD-4</t>
  </si>
  <si>
    <t>Fields: корректная обработка деления на ноль</t>
  </si>
  <si>
    <t>WEB-F-FLD-5</t>
  </si>
  <si>
    <t>Fields: максимальная длина — данные не обрезаются/не скрываются</t>
  </si>
  <si>
    <t>WEB-F-FLD-6</t>
  </si>
  <si>
    <t>Fields: тест на спецсимволы</t>
  </si>
  <si>
    <t>WEB-F-FLD-7</t>
  </si>
  <si>
    <t>Fields: текст не выезжает за границы поля</t>
  </si>
  <si>
    <t>WEB-F-POP-1</t>
  </si>
  <si>
    <t>Popups: информационные сообщения и лимиты символов</t>
  </si>
  <si>
    <t>WEB-F-POP-2</t>
  </si>
  <si>
    <t>Popups: подтверждение действий при обновлении/удалении</t>
  </si>
  <si>
    <t>WEB-F-FILT-1</t>
  </si>
  <si>
    <t>Filters: сортировка (asc/desc/novelty)</t>
  </si>
  <si>
    <t>WEB-F-FILT-2</t>
  </si>
  <si>
    <t>Filters: фильтры с выдачей и без выдачи</t>
  </si>
  <si>
    <t>WEB-F-FILT-3</t>
  </si>
  <si>
    <t>Filters: фильтры по категориям/подкатегориям</t>
  </si>
  <si>
    <t>WEB-F-FILT-4</t>
  </si>
  <si>
    <t>Filters: радиус поиска (если есть)</t>
  </si>
  <si>
    <t>WEB-F-BTN-1</t>
  </si>
  <si>
    <t>Buttons: все доступные кнопки выполняют свои функции</t>
  </si>
  <si>
    <t>WEB-F-META-1</t>
  </si>
  <si>
    <t>Favicon: присутствует и отображается</t>
  </si>
  <si>
    <t>WEB-F-ERR-1</t>
  </si>
  <si>
    <t>Error pages: 404/500/timeout handling shows user-friendly pages</t>
  </si>
  <si>
    <t>WEB-F-DOC-1</t>
  </si>
  <si>
    <t>Documents: все загруженные документы корректно открываются</t>
  </si>
  <si>
    <t>WEB-F-FILE-1</t>
  </si>
  <si>
    <t>Files/media: загрузка/скачивание/удаление файлов</t>
  </si>
  <si>
    <t>WEB-F-EMAIL-1</t>
  </si>
  <si>
    <t>Email: отправка писем (регистрация/восстановление) работает</t>
  </si>
  <si>
    <t>WEB-F-SES-1</t>
  </si>
  <si>
    <t>Cache/Cookies/Sessions: поведение при очистке кэша</t>
  </si>
  <si>
    <t>WEB-F-SES-2</t>
  </si>
  <si>
    <t>Cache/Cookies/Sessions: поведение при удалении куки на сайте</t>
  </si>
  <si>
    <t>WEB-F-DEV-1</t>
  </si>
  <si>
    <t>DevTools: нет ошибок в Console</t>
  </si>
  <si>
    <t>WEB-F-DEV-2</t>
  </si>
  <si>
    <t>DevTools: все стили (CSS) загружены</t>
  </si>
  <si>
    <t>WEB-F-DEV-3</t>
  </si>
  <si>
    <t>DevTools: изображения загружаются без ошибок</t>
  </si>
  <si>
    <t>Integration</t>
  </si>
  <si>
    <t>WEB-I-1</t>
  </si>
  <si>
    <t>Third-party modules: оплаты / шаринг / карты работают корректно</t>
  </si>
  <si>
    <t>WEB-I-2</t>
  </si>
  <si>
    <t>Ads: показ, кликабельность, переходы по рекламе</t>
  </si>
  <si>
    <t>WEB-I-3</t>
  </si>
  <si>
    <t>Metrics: сбор метрик (переходы/показы/клики) корректен</t>
  </si>
  <si>
    <t>Security</t>
  </si>
  <si>
    <t>WEB-S-AUTH-1</t>
  </si>
  <si>
    <t>Auth edge cases: невозможно авторизоваться старым паролем/при блокировке/при лимитах</t>
  </si>
  <si>
    <t>WEB-S-HTTPS-1</t>
  </si>
  <si>
    <t>HTTPS: страницы с конфиденциальными данными открываются по HTTPS</t>
  </si>
  <si>
    <t>WEB-S-PWD-1</t>
  </si>
  <si>
    <t>Password masking: пароли скрыты астерисками</t>
  </si>
  <si>
    <t>WEB-S-ERR-1</t>
  </si>
  <si>
    <t>Error messages: корректные и не раскрывают лишнюю информацию</t>
  </si>
  <si>
    <t>WEB-S-SES-1</t>
  </si>
  <si>
    <t>Session termination: сессия завершается после logout</t>
  </si>
  <si>
    <t>WEB-S-ACL-1</t>
  </si>
  <si>
    <t>Access control: доступ к закрытым разделам ограничен по ролям</t>
  </si>
  <si>
    <t>WEB-S-INJ-1</t>
  </si>
  <si>
    <t>SQL Injection: проверка на уязвимости</t>
  </si>
  <si>
    <t>WEB-S-XSS-1</t>
  </si>
  <si>
    <t>XSS: проверка на Cross-Site Scripting</t>
  </si>
  <si>
    <t>WEB-S-HTML-1</t>
  </si>
  <si>
    <t>HTML Injection: проверка на вставку HTML</t>
  </si>
  <si>
    <t>WEB-S-COOK-1</t>
  </si>
  <si>
    <t>Cookies: хранятся безопасно (HttpOnly, Secure, зашифрованы по возможности)</t>
  </si>
  <si>
    <t>WEB-S-ROLE-1</t>
  </si>
  <si>
    <t>Roles: проверка прав доступа и содержания контента по ролям</t>
  </si>
  <si>
    <t>Localization</t>
  </si>
  <si>
    <t>WEB-L-TIME-1</t>
  </si>
  <si>
    <t>Date/time: отображение в соответствии с часовым поясом пользователя</t>
  </si>
  <si>
    <t>WEB-L-LANG-1</t>
  </si>
  <si>
    <t>Language switch: перевод всех элементов при смене языка</t>
  </si>
  <si>
    <t>WEB-L-PHONE-1</t>
  </si>
  <si>
    <t>Phone numbers: ввод с разными кодами стран</t>
  </si>
  <si>
    <t>WEB-L-GEO-1</t>
  </si>
  <si>
    <t>Geo: определение местоположения и соответствующие пермишены</t>
  </si>
  <si>
    <t>WEB-L-CUR-1</t>
  </si>
  <si>
    <t>Currency: отображение символов валюты корректно</t>
  </si>
  <si>
    <t>Usability</t>
  </si>
  <si>
    <t>WEB-U-L10N-1</t>
  </si>
  <si>
    <t>Spelling/grammar: отсутствие орфографических/грамматических ошибок</t>
  </si>
  <si>
    <t>WEB-U-ALIGN-1</t>
  </si>
  <si>
    <t>Alignment: выравнивание картинок, шрифтов, текстов</t>
  </si>
  <si>
    <t>WEB-U-ERR-1</t>
  </si>
  <si>
    <t>Informative errors: понятные сообщения об ошибках</t>
  </si>
  <si>
    <t>WEB-U-HINT-1</t>
  </si>
  <si>
    <t>Field hints: подсказки для всех полей</t>
  </si>
  <si>
    <t>WEB-U-SPC-1</t>
  </si>
  <si>
    <t>Spacing: отступы между полями/колонками/строками корректны</t>
  </si>
  <si>
    <t>WEB-U-BTN-1</t>
  </si>
  <si>
    <t>Buttons: стандартный размер/цвет/контраст</t>
  </si>
  <si>
    <t>WEB-U-BROKEN-1</t>
  </si>
  <si>
    <t>Broken links/images: отсутствие битых ссылок и изображений</t>
  </si>
  <si>
    <t>WEB-U-DIS-1</t>
  </si>
  <si>
    <t>Disabled fields: неактивные поля отображаются серым цветом</t>
  </si>
  <si>
    <t>WEB-U-RESP-1</t>
  </si>
  <si>
    <t>Responsive: проверка при разных разрешениях экрана</t>
  </si>
  <si>
    <t>WEB-U-SCR-1</t>
  </si>
  <si>
    <t>Scroll: скролл появляется только при необходимости</t>
  </si>
  <si>
    <t>WEB-U-KBD-1</t>
  </si>
  <si>
    <t>Keyboard accessibility: элементы доступны с клавиатуры</t>
  </si>
  <si>
    <t>WEB-U-DD-1</t>
  </si>
  <si>
    <t>Dropdowns: отображение выпадающих списков</t>
  </si>
  <si>
    <t>WEB-U-ELL-1</t>
  </si>
  <si>
    <t>Ellipsis: длинный текст скрывается под многоточие</t>
  </si>
  <si>
    <t>WEB-U-DATE-1</t>
  </si>
  <si>
    <t>Date picker: корректный выбор даты</t>
  </si>
  <si>
    <t>WEB-U-LOGO-1</t>
  </si>
  <si>
    <t>Logo: логотип ведет на главную страницу</t>
  </si>
  <si>
    <t>WEB-U-NAV-1</t>
  </si>
  <si>
    <t>Navigation: переходы между страницами корректны</t>
  </si>
  <si>
    <t>Cross-platform</t>
  </si>
  <si>
    <t>WEB-C-BR-1</t>
  </si>
  <si>
    <t>Browsers: тестирование в Chrome, Firefox, Safari (минимум)</t>
  </si>
  <si>
    <t>WEB-C-OS-1</t>
  </si>
  <si>
    <t>OS versions: проверка в Windows, Mac, Linux</t>
  </si>
  <si>
    <t>WEB-C-JS-1</t>
  </si>
  <si>
    <t>JS compatibility: JavaScript работает в разных браузерах</t>
  </si>
  <si>
    <t>WEB-C-MOB-1</t>
  </si>
  <si>
    <t>Mobile: просмотр и функциональность на мобильных устройствах</t>
  </si>
  <si>
    <t>Passed</t>
  </si>
  <si>
    <t>Failed</t>
  </si>
  <si>
    <t>Blocked</t>
  </si>
  <si>
    <t>Not applied</t>
  </si>
  <si>
    <t>Поля выделяются красным. Появляется подпись с пояснением</t>
  </si>
  <si>
    <t>Нет сообщения, есть лупа при отсутствии результатов</t>
  </si>
  <si>
    <t>Выводит все записи</t>
  </si>
  <si>
    <t>Находит записи с данным эмодзи</t>
  </si>
  <si>
    <t>Работают два варинта, но сохраняется в любом случае с запятой</t>
  </si>
  <si>
    <t>Не позволяет ввести больше максимальной длинны</t>
  </si>
  <si>
    <t>Корректная работа?????</t>
  </si>
  <si>
    <t>Сообщения под полями и popup  сообщения об ошибках</t>
  </si>
  <si>
    <t>Существуют только категотрии</t>
  </si>
  <si>
    <t>Отчеты по периодам</t>
  </si>
  <si>
    <t>Ничего не произошло</t>
  </si>
  <si>
    <t>Все по https</t>
  </si>
  <si>
    <t>Под неавторизованным пользователем создание заявки вызывает ошибку в консоли</t>
  </si>
  <si>
    <t>404 - да, timeout- отсутстувует</t>
  </si>
  <si>
    <t>WEB-MM-GUEST-1</t>
  </si>
  <si>
    <t>Гость может открыть страницу регистрации/авторизации</t>
  </si>
  <si>
    <t>WEB-MM-GUEST-2</t>
  </si>
  <si>
    <t>Гость не имеет доступа к закрытым разделам (заявки, админка)</t>
  </si>
  <si>
    <t>WEB-MM-CLIENT-1</t>
  </si>
  <si>
    <t>Клиент может оставить заявку</t>
  </si>
  <si>
    <t>WEB-MM-CLIENT-2</t>
  </si>
  <si>
    <t>Клиент может просмотреть информацию о своих заявках</t>
  </si>
  <si>
    <t>WEB-MM-CLIENT-3</t>
  </si>
  <si>
    <t>Клиент может изменить информацию о заявке</t>
  </si>
  <si>
    <t>WEB-MM-CLIENT-4</t>
  </si>
  <si>
    <t>Клиент может удалить заявку</t>
  </si>
  <si>
    <t>WEB-MM-CLIENT-5</t>
  </si>
  <si>
    <t>Клиент может оставить отзыв о мастере</t>
  </si>
  <si>
    <t>WEB-MM-CLIENT-6</t>
  </si>
  <si>
    <t>Клиент может посмотреть отзывы о мастере, назначенном на заявку</t>
  </si>
  <si>
    <t>WEB-MM-CLIENT-7</t>
  </si>
  <si>
    <t>Клиент может изменить описание заявки</t>
  </si>
  <si>
    <t>WEB-MM-MASTER-1</t>
  </si>
  <si>
    <t>Мастер может просматривать назначенные заявки</t>
  </si>
  <si>
    <t>WEB-MM-MASTER-2</t>
  </si>
  <si>
    <t>Мастер может изменять назначенные заявки</t>
  </si>
  <si>
    <t>WEB-MM-MASTER-3</t>
  </si>
  <si>
    <t>Мастер может изменять статус заявки</t>
  </si>
  <si>
    <t>WEB-MM-ADMIN-1</t>
  </si>
  <si>
    <t>Администратор может просматривать отчеты по заказам мастеров</t>
  </si>
  <si>
    <t>WEB-MM-ADMIN-2</t>
  </si>
  <si>
    <t>Администратор может просматривать отчеты по заказам за периоды</t>
  </si>
  <si>
    <t>WEB-MM-ADMIN-3</t>
  </si>
  <si>
    <t>Администратор может просматривать отчеты по статусам заказов</t>
  </si>
  <si>
    <t>WEB-MM-ADMIN-4</t>
  </si>
  <si>
    <t>Администратор может просматривать отчеты по стоимости заказов</t>
  </si>
  <si>
    <t>WEB-MM-ADMIN-5</t>
  </si>
  <si>
    <t>Администратор может просматривать логи работы приложения</t>
  </si>
  <si>
    <t>WEB-MM-ADMIN-6</t>
  </si>
  <si>
    <t>Администратор может загружать/выгружать список заказов</t>
  </si>
  <si>
    <t>WEB-MM-ADMIN-7</t>
  </si>
  <si>
    <t>Администратор может модерировать заказы</t>
  </si>
  <si>
    <t>WEB-MM-ADMIN-8</t>
  </si>
  <si>
    <t>Администратор может модерировать пользователей</t>
  </si>
  <si>
    <t>Mind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</si>
</sst>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2" fillId="4" borderId="0" xfId="0" applyFont="1" applyFill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/>
  </cellXfs>
  <cellStyles count="1">
    <cellStyle name="Обычный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F18" sqref="F18"/>
    </sheetView>
  </sheetViews>
  <sheetFormatPr defaultRowHeight="14.5" x14ac:dyDescent="0.35"/>
  <cols>
    <col min="1" max="1" width="14" customWidth="1"/>
    <col min="2" max="2" width="18.7265625" customWidth="1"/>
    <col min="3" max="3" width="87.1796875" customWidth="1"/>
    <col min="4" max="4" width="13" customWidth="1"/>
    <col min="5" max="5" width="29.08984375" customWidth="1"/>
    <col min="6" max="6" width="21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5" t="s">
        <v>6</v>
      </c>
      <c r="B2" s="5" t="s">
        <v>7</v>
      </c>
      <c r="C2" s="5" t="s">
        <v>8</v>
      </c>
      <c r="D2" s="7" t="s">
        <v>175</v>
      </c>
      <c r="E2" s="6"/>
      <c r="F2" s="5"/>
    </row>
    <row r="3" spans="1:6" x14ac:dyDescent="0.35">
      <c r="A3" s="5" t="s">
        <v>6</v>
      </c>
      <c r="B3" s="5" t="s">
        <v>10</v>
      </c>
      <c r="C3" s="5" t="s">
        <v>11</v>
      </c>
      <c r="D3" s="7" t="s">
        <v>175</v>
      </c>
      <c r="E3" s="6"/>
      <c r="F3" s="5"/>
    </row>
    <row r="4" spans="1:6" x14ac:dyDescent="0.35">
      <c r="A4" s="5" t="s">
        <v>6</v>
      </c>
      <c r="B4" s="5" t="s">
        <v>12</v>
      </c>
      <c r="C4" s="5" t="s">
        <v>13</v>
      </c>
      <c r="D4" s="7" t="s">
        <v>178</v>
      </c>
      <c r="E4" s="6"/>
      <c r="F4" s="5"/>
    </row>
    <row r="5" spans="1:6" x14ac:dyDescent="0.35">
      <c r="A5" s="5" t="s">
        <v>6</v>
      </c>
      <c r="B5" s="5" t="s">
        <v>14</v>
      </c>
      <c r="C5" s="5" t="s">
        <v>15</v>
      </c>
      <c r="D5" s="7" t="s">
        <v>175</v>
      </c>
      <c r="E5" s="6"/>
      <c r="F5" s="5"/>
    </row>
    <row r="6" spans="1:6" x14ac:dyDescent="0.35">
      <c r="A6" s="5" t="s">
        <v>6</v>
      </c>
      <c r="B6" s="5" t="s">
        <v>16</v>
      </c>
      <c r="C6" s="5" t="s">
        <v>17</v>
      </c>
      <c r="D6" s="7" t="s">
        <v>175</v>
      </c>
      <c r="E6" s="6"/>
      <c r="F6" s="5"/>
    </row>
    <row r="7" spans="1:6" x14ac:dyDescent="0.35">
      <c r="A7" s="5" t="s">
        <v>6</v>
      </c>
      <c r="B7" s="5" t="s">
        <v>18</v>
      </c>
      <c r="C7" s="5" t="s">
        <v>19</v>
      </c>
      <c r="D7" s="7" t="s">
        <v>175</v>
      </c>
      <c r="E7" s="6"/>
      <c r="F7" s="5"/>
    </row>
    <row r="8" spans="1:6" x14ac:dyDescent="0.35">
      <c r="A8" s="5" t="s">
        <v>6</v>
      </c>
      <c r="B8" s="5" t="s">
        <v>20</v>
      </c>
      <c r="C8" s="5" t="s">
        <v>21</v>
      </c>
      <c r="D8" s="7" t="s">
        <v>178</v>
      </c>
      <c r="E8" s="6"/>
      <c r="F8" s="5"/>
    </row>
    <row r="9" spans="1:6" x14ac:dyDescent="0.35">
      <c r="A9" s="5" t="s">
        <v>6</v>
      </c>
      <c r="B9" s="5" t="s">
        <v>22</v>
      </c>
      <c r="C9" s="5" t="s">
        <v>23</v>
      </c>
      <c r="D9" s="7" t="s">
        <v>175</v>
      </c>
      <c r="E9" s="6"/>
      <c r="F9" s="5"/>
    </row>
    <row r="10" spans="1:6" x14ac:dyDescent="0.35">
      <c r="A10" s="5" t="s">
        <v>6</v>
      </c>
      <c r="B10" s="5" t="s">
        <v>24</v>
      </c>
      <c r="C10" s="5" t="s">
        <v>25</v>
      </c>
      <c r="D10" s="7" t="s">
        <v>175</v>
      </c>
      <c r="E10" s="6"/>
      <c r="F10" s="5"/>
    </row>
    <row r="11" spans="1:6" x14ac:dyDescent="0.35">
      <c r="A11" s="5" t="s">
        <v>6</v>
      </c>
      <c r="B11" s="5" t="s">
        <v>26</v>
      </c>
      <c r="C11" s="5" t="s">
        <v>27</v>
      </c>
      <c r="D11" s="7" t="s">
        <v>178</v>
      </c>
      <c r="E11" s="6"/>
      <c r="F11" s="5"/>
    </row>
    <row r="12" spans="1:6" ht="43.5" customHeight="1" x14ac:dyDescent="0.35">
      <c r="A12" s="5" t="s">
        <v>6</v>
      </c>
      <c r="B12" s="5" t="s">
        <v>28</v>
      </c>
      <c r="C12" s="5" t="s">
        <v>29</v>
      </c>
      <c r="D12" s="7" t="s">
        <v>176</v>
      </c>
      <c r="E12" s="8" t="s">
        <v>179</v>
      </c>
      <c r="F12" s="5"/>
    </row>
    <row r="13" spans="1:6" x14ac:dyDescent="0.35">
      <c r="A13" s="5" t="s">
        <v>6</v>
      </c>
      <c r="B13" s="5" t="s">
        <v>30</v>
      </c>
      <c r="C13" s="5" t="s">
        <v>31</v>
      </c>
      <c r="D13" s="7" t="s">
        <v>175</v>
      </c>
      <c r="E13" s="6"/>
      <c r="F13" s="5"/>
    </row>
    <row r="14" spans="1:6" x14ac:dyDescent="0.35">
      <c r="A14" s="5" t="s">
        <v>6</v>
      </c>
      <c r="B14" s="5" t="s">
        <v>32</v>
      </c>
      <c r="C14" s="5" t="s">
        <v>33</v>
      </c>
      <c r="D14" s="7" t="s">
        <v>175</v>
      </c>
      <c r="E14" s="6"/>
      <c r="F14" s="9"/>
    </row>
    <row r="15" spans="1:6" x14ac:dyDescent="0.35">
      <c r="A15" s="5" t="s">
        <v>6</v>
      </c>
      <c r="B15" s="5" t="s">
        <v>34</v>
      </c>
      <c r="C15" s="5" t="s">
        <v>35</v>
      </c>
      <c r="D15" s="7" t="s">
        <v>178</v>
      </c>
      <c r="E15" s="6"/>
      <c r="F15" s="5"/>
    </row>
    <row r="16" spans="1:6" x14ac:dyDescent="0.35">
      <c r="A16" s="5" t="s">
        <v>6</v>
      </c>
      <c r="B16" s="5" t="s">
        <v>36</v>
      </c>
      <c r="C16" s="5" t="s">
        <v>37</v>
      </c>
      <c r="D16" s="7" t="s">
        <v>175</v>
      </c>
      <c r="E16" s="6"/>
      <c r="F16" s="5"/>
    </row>
    <row r="17" spans="1:6" ht="29" x14ac:dyDescent="0.35">
      <c r="A17" s="5" t="s">
        <v>6</v>
      </c>
      <c r="B17" s="5" t="s">
        <v>38</v>
      </c>
      <c r="C17" s="5" t="s">
        <v>39</v>
      </c>
      <c r="D17" s="7" t="s">
        <v>176</v>
      </c>
      <c r="E17" s="6" t="s">
        <v>180</v>
      </c>
      <c r="F17" s="5"/>
    </row>
    <row r="18" spans="1:6" x14ac:dyDescent="0.35">
      <c r="A18" s="5" t="s">
        <v>6</v>
      </c>
      <c r="B18" s="5" t="s">
        <v>40</v>
      </c>
      <c r="C18" s="5" t="s">
        <v>41</v>
      </c>
      <c r="D18" s="7" t="s">
        <v>175</v>
      </c>
      <c r="E18" s="6" t="s">
        <v>181</v>
      </c>
      <c r="F18" s="5"/>
    </row>
    <row r="19" spans="1:6" ht="29" x14ac:dyDescent="0.35">
      <c r="A19" s="5" t="s">
        <v>6</v>
      </c>
      <c r="B19" s="5" t="s">
        <v>42</v>
      </c>
      <c r="C19" s="5" t="s">
        <v>43</v>
      </c>
      <c r="D19" s="7" t="s">
        <v>175</v>
      </c>
      <c r="E19" s="6" t="s">
        <v>182</v>
      </c>
      <c r="F19" s="5"/>
    </row>
    <row r="20" spans="1:6" x14ac:dyDescent="0.35">
      <c r="A20" s="5" t="s">
        <v>6</v>
      </c>
      <c r="B20" s="5" t="s">
        <v>44</v>
      </c>
      <c r="C20" s="5" t="s">
        <v>45</v>
      </c>
      <c r="D20" s="7" t="s">
        <v>175</v>
      </c>
      <c r="E20" s="6"/>
      <c r="F20" s="5"/>
    </row>
    <row r="21" spans="1:6" ht="43.5" x14ac:dyDescent="0.35">
      <c r="A21" s="5" t="s">
        <v>6</v>
      </c>
      <c r="B21" s="5" t="s">
        <v>46</v>
      </c>
      <c r="C21" s="5" t="s">
        <v>47</v>
      </c>
      <c r="D21" s="7" t="s">
        <v>175</v>
      </c>
      <c r="E21" s="6" t="s">
        <v>183</v>
      </c>
      <c r="F21" s="5"/>
    </row>
    <row r="22" spans="1:6" x14ac:dyDescent="0.35">
      <c r="A22" s="5" t="s">
        <v>6</v>
      </c>
      <c r="B22" s="5" t="s">
        <v>48</v>
      </c>
      <c r="C22" s="5" t="s">
        <v>49</v>
      </c>
      <c r="D22" s="7" t="s">
        <v>178</v>
      </c>
      <c r="E22" s="6"/>
      <c r="F22" s="5"/>
    </row>
    <row r="23" spans="1:6" x14ac:dyDescent="0.35">
      <c r="A23" s="5" t="s">
        <v>6</v>
      </c>
      <c r="B23" s="5" t="s">
        <v>50</v>
      </c>
      <c r="C23" s="5" t="s">
        <v>51</v>
      </c>
      <c r="D23" s="7" t="s">
        <v>178</v>
      </c>
      <c r="E23" s="6"/>
      <c r="F23" s="5"/>
    </row>
    <row r="24" spans="1:6" ht="29" x14ac:dyDescent="0.35">
      <c r="A24" s="5" t="s">
        <v>6</v>
      </c>
      <c r="B24" s="5" t="s">
        <v>52</v>
      </c>
      <c r="C24" s="5" t="s">
        <v>53</v>
      </c>
      <c r="D24" s="7" t="s">
        <v>175</v>
      </c>
      <c r="E24" s="6" t="s">
        <v>184</v>
      </c>
      <c r="F24" s="5"/>
    </row>
    <row r="25" spans="1:6" x14ac:dyDescent="0.35">
      <c r="A25" s="5" t="s">
        <v>6</v>
      </c>
      <c r="B25" s="5" t="s">
        <v>54</v>
      </c>
      <c r="C25" s="5" t="s">
        <v>55</v>
      </c>
      <c r="D25" s="7" t="s">
        <v>175</v>
      </c>
      <c r="E25" s="6" t="s">
        <v>185</v>
      </c>
      <c r="F25" s="5"/>
    </row>
    <row r="26" spans="1:6" x14ac:dyDescent="0.35">
      <c r="A26" s="5" t="s">
        <v>6</v>
      </c>
      <c r="B26" s="5" t="s">
        <v>56</v>
      </c>
      <c r="C26" s="5" t="s">
        <v>57</v>
      </c>
      <c r="D26" s="7" t="s">
        <v>175</v>
      </c>
      <c r="F26" s="5"/>
    </row>
    <row r="27" spans="1:6" ht="29" x14ac:dyDescent="0.35">
      <c r="A27" s="5" t="s">
        <v>6</v>
      </c>
      <c r="B27" s="5" t="s">
        <v>58</v>
      </c>
      <c r="C27" s="5" t="s">
        <v>59</v>
      </c>
      <c r="D27" s="7" t="s">
        <v>175</v>
      </c>
      <c r="E27" s="6" t="s">
        <v>186</v>
      </c>
      <c r="F27" s="5"/>
    </row>
    <row r="28" spans="1:6" x14ac:dyDescent="0.35">
      <c r="A28" s="5" t="s">
        <v>6</v>
      </c>
      <c r="B28" s="5" t="s">
        <v>60</v>
      </c>
      <c r="C28" s="5" t="s">
        <v>61</v>
      </c>
      <c r="D28" s="7" t="s">
        <v>176</v>
      </c>
      <c r="E28" s="6"/>
      <c r="F28" s="5"/>
    </row>
    <row r="29" spans="1:6" x14ac:dyDescent="0.35">
      <c r="A29" s="5" t="s">
        <v>6</v>
      </c>
      <c r="B29" s="5" t="s">
        <v>62</v>
      </c>
      <c r="C29" s="5" t="s">
        <v>63</v>
      </c>
      <c r="D29" s="7" t="s">
        <v>175</v>
      </c>
      <c r="E29" s="6"/>
      <c r="F29" s="5"/>
    </row>
    <row r="30" spans="1:6" x14ac:dyDescent="0.35">
      <c r="A30" s="5" t="s">
        <v>6</v>
      </c>
      <c r="B30" s="5" t="s">
        <v>64</v>
      </c>
      <c r="C30" s="5" t="s">
        <v>65</v>
      </c>
      <c r="D30" s="7" t="s">
        <v>175</v>
      </c>
      <c r="F30" s="5"/>
    </row>
    <row r="31" spans="1:6" x14ac:dyDescent="0.35">
      <c r="A31" s="5" t="s">
        <v>6</v>
      </c>
      <c r="B31" s="5" t="s">
        <v>66</v>
      </c>
      <c r="C31" s="5" t="s">
        <v>67</v>
      </c>
      <c r="D31" s="7" t="s">
        <v>175</v>
      </c>
      <c r="E31" s="6" t="s">
        <v>187</v>
      </c>
      <c r="F31" s="5"/>
    </row>
    <row r="32" spans="1:6" x14ac:dyDescent="0.35">
      <c r="A32" s="5" t="s">
        <v>6</v>
      </c>
      <c r="B32" s="5" t="s">
        <v>68</v>
      </c>
      <c r="C32" s="5" t="s">
        <v>69</v>
      </c>
      <c r="D32" s="7" t="s">
        <v>175</v>
      </c>
      <c r="E32" s="6" t="s">
        <v>188</v>
      </c>
      <c r="F32" s="5"/>
    </row>
    <row r="33" spans="1:6" x14ac:dyDescent="0.35">
      <c r="A33" s="5" t="s">
        <v>6</v>
      </c>
      <c r="B33" s="5" t="s">
        <v>70</v>
      </c>
      <c r="C33" s="5" t="s">
        <v>71</v>
      </c>
      <c r="D33" s="7" t="s">
        <v>175</v>
      </c>
      <c r="E33" s="6"/>
      <c r="F33" s="5"/>
    </row>
    <row r="34" spans="1:6" x14ac:dyDescent="0.35">
      <c r="A34" s="5" t="s">
        <v>6</v>
      </c>
      <c r="B34" s="5" t="s">
        <v>72</v>
      </c>
      <c r="C34" s="5" t="s">
        <v>73</v>
      </c>
      <c r="D34" s="7" t="s">
        <v>175</v>
      </c>
      <c r="E34" s="6"/>
      <c r="F34" s="5"/>
    </row>
    <row r="35" spans="1:6" x14ac:dyDescent="0.35">
      <c r="A35" s="5" t="s">
        <v>6</v>
      </c>
      <c r="B35" s="5" t="s">
        <v>74</v>
      </c>
      <c r="C35" s="5" t="s">
        <v>75</v>
      </c>
      <c r="D35" s="7" t="s">
        <v>175</v>
      </c>
      <c r="E35" s="6" t="s">
        <v>192</v>
      </c>
      <c r="F35" s="9"/>
    </row>
    <row r="36" spans="1:6" x14ac:dyDescent="0.35">
      <c r="A36" s="5" t="s">
        <v>6</v>
      </c>
      <c r="B36" s="5" t="s">
        <v>76</v>
      </c>
      <c r="C36" s="5" t="s">
        <v>77</v>
      </c>
      <c r="D36" s="7" t="s">
        <v>175</v>
      </c>
      <c r="E36" s="6"/>
      <c r="F36" s="5"/>
    </row>
    <row r="37" spans="1:6" x14ac:dyDescent="0.35">
      <c r="A37" s="5" t="s">
        <v>6</v>
      </c>
      <c r="B37" s="5" t="s">
        <v>78</v>
      </c>
      <c r="C37" s="5" t="s">
        <v>79</v>
      </c>
      <c r="D37" s="7" t="s">
        <v>175</v>
      </c>
      <c r="E37" s="6"/>
      <c r="F37" s="5"/>
    </row>
    <row r="38" spans="1:6" x14ac:dyDescent="0.35">
      <c r="A38" s="5" t="s">
        <v>6</v>
      </c>
      <c r="B38" s="5" t="s">
        <v>80</v>
      </c>
      <c r="C38" s="5" t="s">
        <v>81</v>
      </c>
      <c r="D38" s="7" t="s">
        <v>178</v>
      </c>
      <c r="E38" s="6"/>
      <c r="F38" s="5"/>
    </row>
    <row r="39" spans="1:6" x14ac:dyDescent="0.35">
      <c r="A39" s="5" t="s">
        <v>6</v>
      </c>
      <c r="B39" s="5" t="s">
        <v>82</v>
      </c>
      <c r="C39" s="5" t="s">
        <v>83</v>
      </c>
      <c r="D39" s="7" t="s">
        <v>176</v>
      </c>
      <c r="E39" s="6" t="s">
        <v>189</v>
      </c>
      <c r="F39" s="5"/>
    </row>
    <row r="40" spans="1:6" x14ac:dyDescent="0.35">
      <c r="A40" s="5" t="s">
        <v>6</v>
      </c>
      <c r="B40" s="5" t="s">
        <v>84</v>
      </c>
      <c r="C40" s="5" t="s">
        <v>85</v>
      </c>
      <c r="D40" s="7" t="s">
        <v>176</v>
      </c>
      <c r="E40" s="6" t="s">
        <v>189</v>
      </c>
      <c r="F40" s="5"/>
    </row>
    <row r="41" spans="1:6" ht="43.5" x14ac:dyDescent="0.35">
      <c r="A41" s="5" t="s">
        <v>6</v>
      </c>
      <c r="B41" s="5" t="s">
        <v>86</v>
      </c>
      <c r="C41" s="5" t="s">
        <v>87</v>
      </c>
      <c r="D41" s="7" t="s">
        <v>176</v>
      </c>
      <c r="E41" s="6" t="s">
        <v>191</v>
      </c>
      <c r="F41" s="5"/>
    </row>
    <row r="42" spans="1:6" x14ac:dyDescent="0.35">
      <c r="A42" s="5" t="s">
        <v>6</v>
      </c>
      <c r="B42" s="5" t="s">
        <v>88</v>
      </c>
      <c r="C42" s="5" t="s">
        <v>89</v>
      </c>
      <c r="D42" s="7" t="s">
        <v>175</v>
      </c>
      <c r="E42" s="6"/>
      <c r="F42" s="5"/>
    </row>
    <row r="43" spans="1:6" x14ac:dyDescent="0.35">
      <c r="A43" s="5" t="s">
        <v>6</v>
      </c>
      <c r="B43" s="5" t="s">
        <v>90</v>
      </c>
      <c r="C43" s="5" t="s">
        <v>91</v>
      </c>
      <c r="D43" s="7" t="s">
        <v>178</v>
      </c>
      <c r="E43" s="6"/>
      <c r="F43" s="5"/>
    </row>
    <row r="44" spans="1:6" x14ac:dyDescent="0.35">
      <c r="A44" s="5" t="s">
        <v>92</v>
      </c>
      <c r="B44" s="5" t="s">
        <v>93</v>
      </c>
      <c r="C44" s="5" t="s">
        <v>94</v>
      </c>
      <c r="D44" s="7" t="s">
        <v>178</v>
      </c>
      <c r="E44" s="6"/>
      <c r="F44" s="5"/>
    </row>
    <row r="45" spans="1:6" x14ac:dyDescent="0.35">
      <c r="A45" s="5" t="s">
        <v>92</v>
      </c>
      <c r="B45" s="5" t="s">
        <v>95</v>
      </c>
      <c r="C45" s="5" t="s">
        <v>96</v>
      </c>
      <c r="D45" s="7" t="s">
        <v>178</v>
      </c>
      <c r="E45" s="6"/>
      <c r="F45" s="5"/>
    </row>
    <row r="46" spans="1:6" x14ac:dyDescent="0.35">
      <c r="A46" s="5" t="s">
        <v>92</v>
      </c>
      <c r="B46" s="5" t="s">
        <v>97</v>
      </c>
      <c r="C46" s="5" t="s">
        <v>98</v>
      </c>
      <c r="D46" s="7" t="s">
        <v>178</v>
      </c>
      <c r="E46" s="6"/>
      <c r="F46" s="5"/>
    </row>
    <row r="47" spans="1:6" x14ac:dyDescent="0.35">
      <c r="A47" s="5" t="s">
        <v>99</v>
      </c>
      <c r="B47" s="5" t="s">
        <v>100</v>
      </c>
      <c r="C47" s="5" t="s">
        <v>101</v>
      </c>
      <c r="D47" s="7" t="s">
        <v>178</v>
      </c>
      <c r="E47" s="6"/>
      <c r="F47" s="5"/>
    </row>
    <row r="48" spans="1:6" x14ac:dyDescent="0.35">
      <c r="A48" s="5" t="s">
        <v>99</v>
      </c>
      <c r="B48" s="5" t="s">
        <v>102</v>
      </c>
      <c r="C48" s="5" t="s">
        <v>103</v>
      </c>
      <c r="D48" s="7" t="s">
        <v>175</v>
      </c>
      <c r="E48" s="6" t="s">
        <v>190</v>
      </c>
      <c r="F48" s="5"/>
    </row>
    <row r="49" spans="1:6" x14ac:dyDescent="0.35">
      <c r="A49" s="5" t="s">
        <v>99</v>
      </c>
      <c r="B49" s="5" t="s">
        <v>104</v>
      </c>
      <c r="C49" s="5" t="s">
        <v>105</v>
      </c>
      <c r="D49" s="7" t="s">
        <v>175</v>
      </c>
      <c r="E49" s="6"/>
      <c r="F49" s="5"/>
    </row>
    <row r="50" spans="1:6" x14ac:dyDescent="0.35">
      <c r="A50" s="5" t="s">
        <v>99</v>
      </c>
      <c r="B50" s="5" t="s">
        <v>106</v>
      </c>
      <c r="C50" s="5" t="s">
        <v>107</v>
      </c>
      <c r="D50" s="7" t="s">
        <v>175</v>
      </c>
      <c r="E50" s="6"/>
      <c r="F50" s="5"/>
    </row>
    <row r="51" spans="1:6" x14ac:dyDescent="0.35">
      <c r="A51" s="5" t="s">
        <v>99</v>
      </c>
      <c r="B51" s="5" t="s">
        <v>108</v>
      </c>
      <c r="C51" s="5" t="s">
        <v>109</v>
      </c>
      <c r="D51" s="7" t="s">
        <v>175</v>
      </c>
      <c r="E51" s="6"/>
      <c r="F51" s="5"/>
    </row>
    <row r="52" spans="1:6" x14ac:dyDescent="0.35">
      <c r="A52" s="5" t="s">
        <v>99</v>
      </c>
      <c r="B52" s="5" t="s">
        <v>110</v>
      </c>
      <c r="C52" s="5" t="s">
        <v>111</v>
      </c>
      <c r="D52" s="7" t="s">
        <v>175</v>
      </c>
      <c r="E52" s="6"/>
      <c r="F52" s="5"/>
    </row>
    <row r="53" spans="1:6" x14ac:dyDescent="0.35">
      <c r="A53" s="5" t="s">
        <v>99</v>
      </c>
      <c r="B53" s="5" t="s">
        <v>112</v>
      </c>
      <c r="C53" s="5" t="s">
        <v>113</v>
      </c>
      <c r="D53" s="7" t="s">
        <v>9</v>
      </c>
      <c r="E53" s="6"/>
      <c r="F53" s="5"/>
    </row>
    <row r="54" spans="1:6" x14ac:dyDescent="0.35">
      <c r="A54" s="5" t="s">
        <v>99</v>
      </c>
      <c r="B54" s="5" t="s">
        <v>114</v>
      </c>
      <c r="C54" s="5" t="s">
        <v>115</v>
      </c>
      <c r="D54" s="7" t="s">
        <v>175</v>
      </c>
      <c r="E54" s="6"/>
      <c r="F54" s="5"/>
    </row>
    <row r="55" spans="1:6" x14ac:dyDescent="0.35">
      <c r="A55" s="5" t="s">
        <v>99</v>
      </c>
      <c r="B55" s="5" t="s">
        <v>116</v>
      </c>
      <c r="C55" s="5" t="s">
        <v>117</v>
      </c>
      <c r="D55" s="7" t="s">
        <v>175</v>
      </c>
      <c r="E55" s="6"/>
      <c r="F55" s="5"/>
    </row>
    <row r="56" spans="1:6" x14ac:dyDescent="0.35">
      <c r="A56" s="5" t="s">
        <v>99</v>
      </c>
      <c r="B56" s="5" t="s">
        <v>118</v>
      </c>
      <c r="C56" s="5" t="s">
        <v>119</v>
      </c>
      <c r="D56" s="7" t="s">
        <v>9</v>
      </c>
      <c r="E56" s="6"/>
      <c r="F56" s="5"/>
    </row>
    <row r="57" spans="1:6" x14ac:dyDescent="0.35">
      <c r="A57" s="5" t="s">
        <v>99</v>
      </c>
      <c r="B57" s="5" t="s">
        <v>120</v>
      </c>
      <c r="C57" s="5" t="s">
        <v>121</v>
      </c>
      <c r="D57" s="7" t="s">
        <v>175</v>
      </c>
      <c r="E57" s="6"/>
      <c r="F57" s="5"/>
    </row>
    <row r="58" spans="1:6" x14ac:dyDescent="0.35">
      <c r="A58" s="5" t="s">
        <v>122</v>
      </c>
      <c r="B58" s="5" t="s">
        <v>123</v>
      </c>
      <c r="C58" s="5" t="s">
        <v>124</v>
      </c>
      <c r="D58" s="7" t="s">
        <v>178</v>
      </c>
      <c r="E58" s="6"/>
      <c r="F58" s="5"/>
    </row>
    <row r="59" spans="1:6" x14ac:dyDescent="0.35">
      <c r="A59" s="5" t="s">
        <v>122</v>
      </c>
      <c r="B59" s="5" t="s">
        <v>125</v>
      </c>
      <c r="C59" s="5" t="s">
        <v>126</v>
      </c>
      <c r="D59" s="7" t="s">
        <v>178</v>
      </c>
      <c r="E59" s="6"/>
      <c r="F59" s="5"/>
    </row>
    <row r="60" spans="1:6" x14ac:dyDescent="0.35">
      <c r="A60" s="5" t="s">
        <v>122</v>
      </c>
      <c r="B60" s="5" t="s">
        <v>127</v>
      </c>
      <c r="C60" s="5" t="s">
        <v>128</v>
      </c>
      <c r="D60" s="7" t="s">
        <v>178</v>
      </c>
      <c r="E60" s="6"/>
      <c r="F60" s="5"/>
    </row>
    <row r="61" spans="1:6" x14ac:dyDescent="0.35">
      <c r="A61" s="5" t="s">
        <v>122</v>
      </c>
      <c r="B61" s="5" t="s">
        <v>129</v>
      </c>
      <c r="C61" s="5" t="s">
        <v>130</v>
      </c>
      <c r="D61" s="7" t="s">
        <v>178</v>
      </c>
      <c r="E61" s="6"/>
      <c r="F61" s="5"/>
    </row>
    <row r="62" spans="1:6" x14ac:dyDescent="0.35">
      <c r="A62" s="5" t="s">
        <v>122</v>
      </c>
      <c r="B62" s="5" t="s">
        <v>131</v>
      </c>
      <c r="C62" s="5" t="s">
        <v>132</v>
      </c>
      <c r="D62" s="7" t="s">
        <v>178</v>
      </c>
      <c r="E62" s="6"/>
      <c r="F62" s="5"/>
    </row>
    <row r="63" spans="1:6" x14ac:dyDescent="0.35">
      <c r="A63" s="5" t="s">
        <v>133</v>
      </c>
      <c r="B63" s="5" t="s">
        <v>134</v>
      </c>
      <c r="C63" s="5" t="s">
        <v>135</v>
      </c>
      <c r="D63" s="7" t="s">
        <v>175</v>
      </c>
      <c r="E63" s="6"/>
      <c r="F63" s="5"/>
    </row>
    <row r="64" spans="1:6" x14ac:dyDescent="0.35">
      <c r="A64" s="5" t="s">
        <v>133</v>
      </c>
      <c r="B64" s="5" t="s">
        <v>136</v>
      </c>
      <c r="C64" s="5" t="s">
        <v>137</v>
      </c>
      <c r="D64" s="7" t="s">
        <v>175</v>
      </c>
      <c r="E64" s="6"/>
      <c r="F64" s="5"/>
    </row>
    <row r="65" spans="1:6" x14ac:dyDescent="0.35">
      <c r="A65" s="5" t="s">
        <v>133</v>
      </c>
      <c r="B65" s="5" t="s">
        <v>138</v>
      </c>
      <c r="C65" s="5" t="s">
        <v>139</v>
      </c>
      <c r="D65" s="7" t="s">
        <v>175</v>
      </c>
      <c r="E65" s="6"/>
      <c r="F65" s="5"/>
    </row>
    <row r="66" spans="1:6" x14ac:dyDescent="0.35">
      <c r="A66" s="5" t="s">
        <v>133</v>
      </c>
      <c r="B66" s="5" t="s">
        <v>140</v>
      </c>
      <c r="C66" s="5" t="s">
        <v>141</v>
      </c>
      <c r="D66" s="7" t="s">
        <v>176</v>
      </c>
      <c r="E66" s="6"/>
      <c r="F66" s="5"/>
    </row>
    <row r="67" spans="1:6" x14ac:dyDescent="0.35">
      <c r="A67" s="5" t="s">
        <v>133</v>
      </c>
      <c r="B67" s="5" t="s">
        <v>142</v>
      </c>
      <c r="C67" s="5" t="s">
        <v>143</v>
      </c>
      <c r="D67" s="7" t="s">
        <v>175</v>
      </c>
      <c r="E67" s="6"/>
      <c r="F67" s="5"/>
    </row>
    <row r="68" spans="1:6" x14ac:dyDescent="0.35">
      <c r="A68" s="5" t="s">
        <v>133</v>
      </c>
      <c r="B68" s="5" t="s">
        <v>144</v>
      </c>
      <c r="C68" s="5" t="s">
        <v>145</v>
      </c>
      <c r="D68" s="7" t="s">
        <v>175</v>
      </c>
      <c r="E68" s="6"/>
      <c r="F68" s="5"/>
    </row>
    <row r="69" spans="1:6" x14ac:dyDescent="0.35">
      <c r="A69" s="5" t="s">
        <v>133</v>
      </c>
      <c r="B69" s="5" t="s">
        <v>146</v>
      </c>
      <c r="C69" s="5" t="s">
        <v>147</v>
      </c>
      <c r="D69" s="7" t="s">
        <v>175</v>
      </c>
      <c r="E69" s="6"/>
      <c r="F69" s="5"/>
    </row>
    <row r="70" spans="1:6" x14ac:dyDescent="0.35">
      <c r="A70" s="5" t="s">
        <v>133</v>
      </c>
      <c r="B70" s="5" t="s">
        <v>148</v>
      </c>
      <c r="C70" s="5" t="s">
        <v>149</v>
      </c>
      <c r="D70" s="7" t="s">
        <v>176</v>
      </c>
      <c r="E70" s="6"/>
      <c r="F70" s="5"/>
    </row>
    <row r="71" spans="1:6" x14ac:dyDescent="0.35">
      <c r="A71" s="5" t="s">
        <v>133</v>
      </c>
      <c r="B71" s="5" t="s">
        <v>150</v>
      </c>
      <c r="C71" s="5" t="s">
        <v>151</v>
      </c>
      <c r="D71" s="7" t="s">
        <v>175</v>
      </c>
      <c r="E71" s="6"/>
      <c r="F71" s="5"/>
    </row>
    <row r="72" spans="1:6" x14ac:dyDescent="0.35">
      <c r="A72" s="5" t="s">
        <v>133</v>
      </c>
      <c r="B72" s="5" t="s">
        <v>152</v>
      </c>
      <c r="C72" s="5" t="s">
        <v>153</v>
      </c>
      <c r="D72" s="7" t="s">
        <v>175</v>
      </c>
      <c r="E72" s="6"/>
      <c r="F72" s="5"/>
    </row>
    <row r="73" spans="1:6" x14ac:dyDescent="0.35">
      <c r="A73" s="5" t="s">
        <v>133</v>
      </c>
      <c r="B73" s="5" t="s">
        <v>154</v>
      </c>
      <c r="C73" s="5" t="s">
        <v>155</v>
      </c>
      <c r="D73" s="7" t="s">
        <v>175</v>
      </c>
      <c r="E73" s="6"/>
      <c r="F73" s="5"/>
    </row>
    <row r="74" spans="1:6" x14ac:dyDescent="0.35">
      <c r="A74" s="5" t="s">
        <v>133</v>
      </c>
      <c r="B74" s="5" t="s">
        <v>156</v>
      </c>
      <c r="C74" s="5" t="s">
        <v>157</v>
      </c>
      <c r="D74" s="7" t="s">
        <v>175</v>
      </c>
      <c r="E74" s="6"/>
      <c r="F74" s="5"/>
    </row>
    <row r="75" spans="1:6" x14ac:dyDescent="0.35">
      <c r="A75" s="5" t="s">
        <v>133</v>
      </c>
      <c r="B75" s="5" t="s">
        <v>158</v>
      </c>
      <c r="C75" s="5" t="s">
        <v>159</v>
      </c>
      <c r="D75" s="7" t="s">
        <v>176</v>
      </c>
      <c r="E75" s="6"/>
      <c r="F75" s="5"/>
    </row>
    <row r="76" spans="1:6" x14ac:dyDescent="0.35">
      <c r="A76" s="5" t="s">
        <v>133</v>
      </c>
      <c r="B76" s="5" t="s">
        <v>160</v>
      </c>
      <c r="C76" s="5" t="s">
        <v>161</v>
      </c>
      <c r="D76" s="7" t="s">
        <v>175</v>
      </c>
      <c r="E76" s="6"/>
      <c r="F76" s="5"/>
    </row>
    <row r="77" spans="1:6" x14ac:dyDescent="0.35">
      <c r="A77" s="5" t="s">
        <v>133</v>
      </c>
      <c r="B77" s="5" t="s">
        <v>162</v>
      </c>
      <c r="C77" s="5" t="s">
        <v>163</v>
      </c>
      <c r="D77" s="7" t="s">
        <v>175</v>
      </c>
      <c r="E77" s="6"/>
      <c r="F77" s="5"/>
    </row>
    <row r="78" spans="1:6" x14ac:dyDescent="0.35">
      <c r="A78" s="5" t="s">
        <v>133</v>
      </c>
      <c r="B78" s="5" t="s">
        <v>164</v>
      </c>
      <c r="C78" s="5" t="s">
        <v>165</v>
      </c>
      <c r="D78" s="7" t="s">
        <v>175</v>
      </c>
      <c r="E78" s="6"/>
      <c r="F78" s="5"/>
    </row>
    <row r="79" spans="1:6" x14ac:dyDescent="0.35">
      <c r="A79" s="5" t="s">
        <v>166</v>
      </c>
      <c r="B79" s="5" t="s">
        <v>167</v>
      </c>
      <c r="C79" s="5" t="s">
        <v>168</v>
      </c>
      <c r="D79" s="7" t="s">
        <v>175</v>
      </c>
      <c r="E79" s="6"/>
      <c r="F79" s="5"/>
    </row>
    <row r="80" spans="1:6" x14ac:dyDescent="0.35">
      <c r="A80" s="5" t="s">
        <v>166</v>
      </c>
      <c r="B80" s="5" t="s">
        <v>169</v>
      </c>
      <c r="C80" s="5" t="s">
        <v>170</v>
      </c>
      <c r="D80" s="7" t="s">
        <v>175</v>
      </c>
      <c r="E80" s="6"/>
      <c r="F80" s="5"/>
    </row>
    <row r="81" spans="1:6" x14ac:dyDescent="0.35">
      <c r="A81" s="5" t="s">
        <v>166</v>
      </c>
      <c r="B81" s="5" t="s">
        <v>171</v>
      </c>
      <c r="C81" s="5" t="s">
        <v>172</v>
      </c>
      <c r="D81" s="7" t="s">
        <v>178</v>
      </c>
      <c r="E81" s="6"/>
      <c r="F81" s="5"/>
    </row>
    <row r="82" spans="1:6" x14ac:dyDescent="0.35">
      <c r="A82" s="5" t="s">
        <v>166</v>
      </c>
      <c r="B82" s="5" t="s">
        <v>173</v>
      </c>
      <c r="C82" s="5" t="s">
        <v>174</v>
      </c>
      <c r="D82" s="7" t="s">
        <v>175</v>
      </c>
      <c r="E82" s="6"/>
      <c r="F82" s="5"/>
    </row>
    <row r="83" spans="1:6" x14ac:dyDescent="0.35">
      <c r="A83" s="5" t="s">
        <v>6</v>
      </c>
      <c r="B83" s="5" t="s">
        <v>193</v>
      </c>
      <c r="C83" s="5" t="s">
        <v>194</v>
      </c>
      <c r="D83" s="7" t="s">
        <v>175</v>
      </c>
      <c r="E83" s="5"/>
      <c r="F83" s="5" t="s">
        <v>233</v>
      </c>
    </row>
    <row r="84" spans="1:6" x14ac:dyDescent="0.35">
      <c r="A84" s="5" t="s">
        <v>6</v>
      </c>
      <c r="B84" s="5" t="s">
        <v>195</v>
      </c>
      <c r="C84" s="5" t="s">
        <v>196</v>
      </c>
      <c r="D84" s="7" t="s">
        <v>175</v>
      </c>
      <c r="E84" s="5"/>
      <c r="F84" s="5" t="s">
        <v>233</v>
      </c>
    </row>
    <row r="85" spans="1:6" x14ac:dyDescent="0.35">
      <c r="A85" s="5" t="s">
        <v>6</v>
      </c>
      <c r="B85" s="5" t="s">
        <v>197</v>
      </c>
      <c r="C85" s="5" t="s">
        <v>198</v>
      </c>
      <c r="D85" s="7" t="s">
        <v>175</v>
      </c>
      <c r="E85" s="5"/>
      <c r="F85" s="5" t="s">
        <v>233</v>
      </c>
    </row>
    <row r="86" spans="1:6" x14ac:dyDescent="0.35">
      <c r="A86" s="5" t="s">
        <v>6</v>
      </c>
      <c r="B86" s="5" t="s">
        <v>199</v>
      </c>
      <c r="C86" s="5" t="s">
        <v>200</v>
      </c>
      <c r="D86" s="7" t="s">
        <v>175</v>
      </c>
      <c r="E86" s="5"/>
      <c r="F86" s="5" t="s">
        <v>233</v>
      </c>
    </row>
    <row r="87" spans="1:6" x14ac:dyDescent="0.35">
      <c r="A87" s="5" t="s">
        <v>6</v>
      </c>
      <c r="B87" s="5" t="s">
        <v>201</v>
      </c>
      <c r="C87" s="5" t="s">
        <v>202</v>
      </c>
      <c r="D87" s="7" t="s">
        <v>175</v>
      </c>
      <c r="E87" s="5"/>
      <c r="F87" s="5" t="s">
        <v>233</v>
      </c>
    </row>
    <row r="88" spans="1:6" x14ac:dyDescent="0.35">
      <c r="A88" s="5" t="s">
        <v>6</v>
      </c>
      <c r="B88" s="5" t="s">
        <v>203</v>
      </c>
      <c r="C88" s="5" t="s">
        <v>204</v>
      </c>
      <c r="D88" s="7" t="s">
        <v>175</v>
      </c>
      <c r="E88" s="5"/>
      <c r="F88" s="5" t="s">
        <v>233</v>
      </c>
    </row>
    <row r="89" spans="1:6" x14ac:dyDescent="0.35">
      <c r="A89" s="5" t="s">
        <v>6</v>
      </c>
      <c r="B89" s="5" t="s">
        <v>205</v>
      </c>
      <c r="C89" s="5" t="s">
        <v>206</v>
      </c>
      <c r="D89" s="7" t="s">
        <v>175</v>
      </c>
      <c r="E89" s="5"/>
      <c r="F89" s="5" t="s">
        <v>233</v>
      </c>
    </row>
    <row r="90" spans="1:6" x14ac:dyDescent="0.35">
      <c r="A90" s="5" t="s">
        <v>6</v>
      </c>
      <c r="B90" s="5" t="s">
        <v>207</v>
      </c>
      <c r="C90" s="5" t="s">
        <v>208</v>
      </c>
      <c r="D90" s="7" t="s">
        <v>175</v>
      </c>
      <c r="E90" s="5"/>
      <c r="F90" s="5" t="s">
        <v>233</v>
      </c>
    </row>
    <row r="91" spans="1:6" x14ac:dyDescent="0.35">
      <c r="A91" s="5" t="s">
        <v>6</v>
      </c>
      <c r="B91" s="5" t="s">
        <v>209</v>
      </c>
      <c r="C91" s="5" t="s">
        <v>210</v>
      </c>
      <c r="D91" s="7" t="s">
        <v>175</v>
      </c>
      <c r="E91" s="5"/>
      <c r="F91" s="5" t="s">
        <v>233</v>
      </c>
    </row>
    <row r="92" spans="1:6" x14ac:dyDescent="0.35">
      <c r="A92" s="5" t="s">
        <v>6</v>
      </c>
      <c r="B92" s="5" t="s">
        <v>211</v>
      </c>
      <c r="C92" s="5" t="s">
        <v>212</v>
      </c>
      <c r="D92" s="7" t="s">
        <v>175</v>
      </c>
      <c r="E92" s="5"/>
      <c r="F92" s="5" t="s">
        <v>233</v>
      </c>
    </row>
    <row r="93" spans="1:6" x14ac:dyDescent="0.35">
      <c r="A93" s="5" t="s">
        <v>6</v>
      </c>
      <c r="B93" s="5" t="s">
        <v>213</v>
      </c>
      <c r="C93" s="5" t="s">
        <v>214</v>
      </c>
      <c r="D93" s="7" t="s">
        <v>175</v>
      </c>
      <c r="E93" s="5"/>
      <c r="F93" s="5" t="s">
        <v>233</v>
      </c>
    </row>
    <row r="94" spans="1:6" x14ac:dyDescent="0.35">
      <c r="A94" s="5" t="s">
        <v>6</v>
      </c>
      <c r="B94" s="5" t="s">
        <v>215</v>
      </c>
      <c r="C94" s="5" t="s">
        <v>216</v>
      </c>
      <c r="D94" s="7" t="s">
        <v>175</v>
      </c>
      <c r="E94" s="5"/>
      <c r="F94" s="5" t="s">
        <v>233</v>
      </c>
    </row>
    <row r="95" spans="1:6" x14ac:dyDescent="0.35">
      <c r="A95" s="5" t="s">
        <v>6</v>
      </c>
      <c r="B95" s="5" t="s">
        <v>217</v>
      </c>
      <c r="C95" s="5" t="s">
        <v>218</v>
      </c>
      <c r="D95" s="7" t="s">
        <v>175</v>
      </c>
      <c r="E95" s="5"/>
      <c r="F95" s="5" t="s">
        <v>233</v>
      </c>
    </row>
    <row r="96" spans="1:6" x14ac:dyDescent="0.35">
      <c r="A96" s="5" t="s">
        <v>6</v>
      </c>
      <c r="B96" s="5" t="s">
        <v>219</v>
      </c>
      <c r="C96" s="5" t="s">
        <v>220</v>
      </c>
      <c r="D96" s="7" t="s">
        <v>175</v>
      </c>
      <c r="E96" s="5"/>
      <c r="F96" s="5" t="s">
        <v>233</v>
      </c>
    </row>
    <row r="97" spans="1:6" x14ac:dyDescent="0.35">
      <c r="A97" s="5" t="s">
        <v>6</v>
      </c>
      <c r="B97" s="5" t="s">
        <v>221</v>
      </c>
      <c r="C97" s="5" t="s">
        <v>222</v>
      </c>
      <c r="D97" s="7" t="s">
        <v>175</v>
      </c>
      <c r="E97" s="5"/>
      <c r="F97" s="5" t="s">
        <v>233</v>
      </c>
    </row>
    <row r="98" spans="1:6" x14ac:dyDescent="0.35">
      <c r="A98" s="5" t="s">
        <v>6</v>
      </c>
      <c r="B98" s="5" t="s">
        <v>223</v>
      </c>
      <c r="C98" s="5" t="s">
        <v>224</v>
      </c>
      <c r="D98" s="7" t="s">
        <v>175</v>
      </c>
      <c r="E98" s="5"/>
      <c r="F98" s="5" t="s">
        <v>233</v>
      </c>
    </row>
    <row r="99" spans="1:6" x14ac:dyDescent="0.35">
      <c r="A99" s="5" t="s">
        <v>6</v>
      </c>
      <c r="B99" s="5" t="s">
        <v>225</v>
      </c>
      <c r="C99" s="5" t="s">
        <v>226</v>
      </c>
      <c r="D99" s="7" t="s">
        <v>175</v>
      </c>
      <c r="E99" s="5"/>
      <c r="F99" s="5" t="s">
        <v>233</v>
      </c>
    </row>
    <row r="100" spans="1:6" x14ac:dyDescent="0.35">
      <c r="A100" s="5" t="s">
        <v>6</v>
      </c>
      <c r="B100" s="5" t="s">
        <v>227</v>
      </c>
      <c r="C100" s="5" t="s">
        <v>228</v>
      </c>
      <c r="D100" s="7" t="s">
        <v>175</v>
      </c>
      <c r="E100" s="5"/>
      <c r="F100" s="5" t="s">
        <v>233</v>
      </c>
    </row>
    <row r="101" spans="1:6" x14ac:dyDescent="0.35">
      <c r="A101" s="5" t="s">
        <v>6</v>
      </c>
      <c r="B101" s="5" t="s">
        <v>229</v>
      </c>
      <c r="C101" s="5" t="s">
        <v>230</v>
      </c>
      <c r="D101" s="7" t="s">
        <v>175</v>
      </c>
      <c r="E101" s="5"/>
      <c r="F101" s="5" t="s">
        <v>233</v>
      </c>
    </row>
    <row r="102" spans="1:6" x14ac:dyDescent="0.35">
      <c r="A102" s="5" t="s">
        <v>6</v>
      </c>
      <c r="B102" s="5" t="s">
        <v>231</v>
      </c>
      <c r="C102" s="5" t="s">
        <v>232</v>
      </c>
      <c r="D102" s="7" t="s">
        <v>175</v>
      </c>
      <c r="E102" s="5"/>
      <c r="F102" s="5" t="s">
        <v>233</v>
      </c>
    </row>
    <row r="103" spans="1:6" x14ac:dyDescent="0.35">
      <c r="C103" s="2" t="s">
        <v>175</v>
      </c>
      <c r="D103">
        <f>COUNTIF(D2:D102, "=Passed")</f>
        <v>72</v>
      </c>
    </row>
    <row r="104" spans="1:6" x14ac:dyDescent="0.35">
      <c r="C104" s="3" t="s">
        <v>176</v>
      </c>
      <c r="D104">
        <f>COUNTIF(D2:D102, "=Failed")</f>
        <v>9</v>
      </c>
    </row>
    <row r="105" spans="1:6" x14ac:dyDescent="0.35">
      <c r="C105" s="4" t="s">
        <v>177</v>
      </c>
      <c r="D105">
        <f>COUNTIF(D2:D102, "=Blocked")</f>
        <v>0</v>
      </c>
    </row>
    <row r="106" spans="1:6" x14ac:dyDescent="0.35">
      <c r="C106" s="4" t="s">
        <v>178</v>
      </c>
      <c r="D106">
        <f>COUNTIF(D2:D102, "=Not applied")</f>
        <v>18</v>
      </c>
    </row>
    <row r="107" spans="1:6" x14ac:dyDescent="0.35">
      <c r="C107" s="4" t="s">
        <v>9</v>
      </c>
      <c r="D107">
        <f>COUNTIF(D2:D102, "=Not tested")</f>
        <v>2</v>
      </c>
    </row>
  </sheetData>
  <conditionalFormatting sqref="C105:C107">
    <cfRule type="containsText" dxfId="16" priority="5" operator="containsText" text="Not tested">
      <formula>NOT(ISERROR(SEARCH(("Not tested"),(D105))))</formula>
    </cfRule>
    <cfRule type="containsText" dxfId="15" priority="6" operator="containsText" text="Passed">
      <formula>NOT(ISERROR(SEARCH(("Passed"),(D105))))</formula>
    </cfRule>
    <cfRule type="containsText" dxfId="14" priority="7" operator="containsText" text="Failed">
      <formula>NOT(ISERROR(SEARCH(("Failed"),(D105))))</formula>
    </cfRule>
    <cfRule type="containsText" dxfId="13" priority="8" operator="containsText" text="Blocked">
      <formula>NOT(ISERROR(SEARCH(("Blocked"),(D105))))</formula>
    </cfRule>
    <cfRule type="containsText" dxfId="12" priority="9" operator="containsText" text="Not applied">
      <formula>NOT(ISERROR(SEARCH(("Not applied"),(D105))))</formula>
    </cfRule>
  </conditionalFormatting>
  <conditionalFormatting sqref="D2:D102">
    <cfRule type="cellIs" dxfId="11" priority="2" operator="equal">
      <formula>"Not tested"</formula>
    </cfRule>
    <cfRule type="cellIs" dxfId="10" priority="3" operator="equal">
      <formula>"Failed"</formula>
    </cfRule>
    <cfRule type="cellIs" dxfId="9" priority="4" operator="equal">
      <formula>"Passed"</formula>
    </cfRule>
  </conditionalFormatting>
  <dataValidations count="1">
    <dataValidation type="list" allowBlank="1" showInputMessage="1" showErrorMessage="1" sqref="D2:D102" xr:uid="{2E22E82F-8BAD-4BF7-9E05-8559A22C183B}">
      <formula1>$C$103:$C$107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Web Testing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Коробов</cp:lastModifiedBy>
  <dcterms:created xsi:type="dcterms:W3CDTF">2026-02-25T15:56:56Z</dcterms:created>
  <dcterms:modified xsi:type="dcterms:W3CDTF">2026-02-26T03:53:48Z</dcterms:modified>
</cp:coreProperties>
</file>