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em6\EITC\code\"/>
    </mc:Choice>
  </mc:AlternateContent>
  <xr:revisionPtr revIDLastSave="0" documentId="13_ncr:1_{C27CF082-C2B2-445D-AC0C-0401FC175EB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Задание исх данные, решение 1" sheetId="1" r:id="rId1"/>
    <sheet name="Порядок работы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G89" i="1"/>
  <c r="G90" i="1"/>
  <c r="G88" i="1"/>
  <c r="F89" i="1"/>
  <c r="F90" i="1"/>
  <c r="F88" i="1"/>
  <c r="F91" i="1"/>
  <c r="E91" i="1"/>
  <c r="E89" i="1"/>
  <c r="E90" i="1"/>
  <c r="E88" i="1"/>
  <c r="D91" i="1"/>
  <c r="D89" i="1"/>
  <c r="D90" i="1"/>
  <c r="D88" i="1"/>
  <c r="C89" i="1"/>
  <c r="C90" i="1"/>
  <c r="C88" i="1"/>
  <c r="B91" i="1"/>
  <c r="B89" i="1"/>
  <c r="B90" i="1"/>
  <c r="B88" i="1"/>
  <c r="C83" i="1"/>
  <c r="D83" i="1"/>
  <c r="B83" i="1"/>
  <c r="C82" i="1"/>
  <c r="D82" i="1"/>
  <c r="B82" i="1"/>
  <c r="C81" i="1"/>
  <c r="D81" i="1"/>
  <c r="B81" i="1"/>
  <c r="C80" i="1"/>
  <c r="D80" i="1"/>
  <c r="B80" i="1"/>
  <c r="C78" i="1"/>
  <c r="D78" i="1"/>
  <c r="B78" i="1"/>
  <c r="B52" i="1"/>
  <c r="F60" i="1"/>
  <c r="F9" i="1"/>
  <c r="F14" i="1" s="1"/>
  <c r="F15" i="1" s="1"/>
  <c r="F17" i="1" s="1"/>
  <c r="F18" i="1" s="1"/>
  <c r="D71" i="1"/>
  <c r="C71" i="1"/>
  <c r="D69" i="1"/>
  <c r="D68" i="1"/>
  <c r="C70" i="1"/>
  <c r="C69" i="1"/>
  <c r="C68" i="1"/>
  <c r="B69" i="1"/>
  <c r="B68" i="1"/>
  <c r="D66" i="1"/>
  <c r="C66" i="1"/>
  <c r="C64" i="1"/>
  <c r="D65" i="1"/>
  <c r="D64" i="1"/>
  <c r="C65" i="1"/>
  <c r="B65" i="1"/>
  <c r="B64" i="1"/>
  <c r="D62" i="1"/>
  <c r="D61" i="1"/>
  <c r="D60" i="1"/>
  <c r="C62" i="1"/>
  <c r="C61" i="1"/>
  <c r="C60" i="1"/>
  <c r="B61" i="1"/>
  <c r="B60" i="1"/>
  <c r="F8" i="1"/>
  <c r="G91" i="1" l="1"/>
  <c r="I60" i="1"/>
  <c r="D70" i="1"/>
  <c r="G52" i="1" l="1"/>
  <c r="I52" i="1"/>
  <c r="G60" i="1" s="1"/>
  <c r="C52" i="1"/>
  <c r="D52" i="1"/>
  <c r="E52" i="1"/>
  <c r="H52" i="1"/>
  <c r="F52" i="1"/>
  <c r="E64" i="1"/>
  <c r="E61" i="1"/>
  <c r="F61" i="1" s="1"/>
  <c r="G61" i="1" s="1"/>
  <c r="E65" i="1"/>
  <c r="F65" i="1" s="1"/>
  <c r="G65" i="1" s="1"/>
  <c r="E60" i="1"/>
  <c r="E69" i="1"/>
  <c r="E68" i="1"/>
  <c r="F68" i="1" s="1"/>
  <c r="G68" i="1" l="1"/>
  <c r="E70" i="1"/>
  <c r="F69" i="1"/>
  <c r="G69" i="1" s="1"/>
  <c r="E62" i="1"/>
  <c r="F64" i="1"/>
  <c r="E66" i="1"/>
  <c r="E71" i="1" l="1"/>
  <c r="F70" i="1"/>
  <c r="G64" i="1"/>
  <c r="G66" i="1" s="1"/>
  <c r="C76" i="1" s="1"/>
  <c r="C77" i="1" s="1"/>
  <c r="F66" i="1"/>
  <c r="F62" i="1"/>
  <c r="F71" i="1" s="1"/>
  <c r="G62" i="1"/>
  <c r="G70" i="1"/>
  <c r="D76" i="1" s="1"/>
  <c r="D77" i="1" s="1"/>
  <c r="G71" i="1" l="1"/>
  <c r="B76" i="1"/>
  <c r="B77" i="1" s="1"/>
</calcChain>
</file>

<file path=xl/sharedStrings.xml><?xml version="1.0" encoding="utf-8"?>
<sst xmlns="http://schemas.openxmlformats.org/spreadsheetml/2006/main" count="131" uniqueCount="113">
  <si>
    <t>Показатель</t>
  </si>
  <si>
    <t>Значение</t>
  </si>
  <si>
    <t>1. Календарный фонд рабочего времени, дней</t>
  </si>
  <si>
    <t>2. Выходные и праздничные дни</t>
  </si>
  <si>
    <t xml:space="preserve">3. Номинальный фонд рабочего времени, дней (п.1-п.2) </t>
  </si>
  <si>
    <t>− основные, дополнительные и учебные отпуска</t>
  </si>
  <si>
    <t>− отпуск по беременности и родам</t>
  </si>
  <si>
    <t xml:space="preserve">− невыходы по болезни </t>
  </si>
  <si>
    <t>− выполнение государственных и общественных обязанностей</t>
  </si>
  <si>
    <t>8. Эффективный фонд рабочего времени, ч (п.6-п.7)</t>
  </si>
  <si>
    <t>Таблица 1. Баланс рабочего времени одного среднесписочного рабочего</t>
  </si>
  <si>
    <t>Разряд</t>
  </si>
  <si>
    <t>Часовая тарифная ставка, руб.</t>
  </si>
  <si>
    <t>Тарифный коэффициент</t>
  </si>
  <si>
    <t>Наименование профессии рабочих</t>
  </si>
  <si>
    <t>Расчет численности рабочих</t>
  </si>
  <si>
    <t>Расчет тарифного фонда оплаты труда</t>
  </si>
  <si>
    <t>Тарифный разряд</t>
  </si>
  <si>
    <t>Списочное число, чел</t>
  </si>
  <si>
    <t>Тарифный фонд оплаты труда, руб.</t>
  </si>
  <si>
    <t>В смену</t>
  </si>
  <si>
    <t>В сутки</t>
  </si>
  <si>
    <t>1.Основные производственные рабочие:</t>
  </si>
  <si>
    <t>1.2 Упаковщик</t>
  </si>
  <si>
    <t>Итого:</t>
  </si>
  <si>
    <t>2.Вспомогательные рабочие:</t>
  </si>
  <si>
    <t>3. Прочие:</t>
  </si>
  <si>
    <t>Всего:</t>
  </si>
  <si>
    <t>Годовой фонд оплаты труда, руб.</t>
  </si>
  <si>
    <t>Вспомогательных рабочих</t>
  </si>
  <si>
    <t>Прочих</t>
  </si>
  <si>
    <t>Количество человек</t>
  </si>
  <si>
    <t>Итого</t>
  </si>
  <si>
    <t>Начальник подразделения</t>
  </si>
  <si>
    <t>Инженер по автоматизации</t>
  </si>
  <si>
    <t>Экономист</t>
  </si>
  <si>
    <r>
      <t>1.</t>
    </r>
    <r>
      <rPr>
        <sz val="11"/>
        <color theme="1"/>
        <rFont val="Calibri"/>
        <family val="2"/>
        <charset val="204"/>
        <scheme val="minor"/>
      </rPr>
      <t>1 Оператор</t>
    </r>
    <r>
      <rPr>
        <sz val="11"/>
        <color rgb="FF000000"/>
        <rFont val="Calibri"/>
        <family val="2"/>
        <charset val="204"/>
        <scheme val="minor"/>
      </rPr>
      <t xml:space="preserve"> </t>
    </r>
  </si>
  <si>
    <t>4. Планируемые невыходы на работу (итого), дней:</t>
  </si>
  <si>
    <t>6. Число рабочих часов в году (п.5×продолжительность рабочей смены 8 ч)</t>
  </si>
  <si>
    <t>Таблица 3. Часовая тарифная ставка в зависимости от тарифного коэффициента соответствующего разряда</t>
  </si>
  <si>
    <t>Таблица 4. Расчет численности и тарифного фонда оплаты труда рабочих</t>
  </si>
  <si>
    <t>Тарифная ставка в месяц 1 разряда, руб.</t>
  </si>
  <si>
    <t>Таблица 2. Исходные данные</t>
  </si>
  <si>
    <t>Число смен</t>
  </si>
  <si>
    <r>
      <t>2.1. Э</t>
    </r>
    <r>
      <rPr>
        <sz val="11"/>
        <color rgb="FF000000"/>
        <rFont val="Calibri"/>
        <family val="2"/>
        <charset val="204"/>
        <scheme val="minor"/>
      </rPr>
      <t>лектрик</t>
    </r>
  </si>
  <si>
    <t>2.2. Наладчик оборудования</t>
  </si>
  <si>
    <t xml:space="preserve">3.1. Грузчик </t>
  </si>
  <si>
    <r>
      <t xml:space="preserve">3.2. </t>
    </r>
    <r>
      <rPr>
        <sz val="11"/>
        <color rgb="FF000000"/>
        <rFont val="Calibri"/>
        <family val="2"/>
        <charset val="204"/>
        <scheme val="minor"/>
      </rPr>
      <t>Уборщик помещений</t>
    </r>
  </si>
  <si>
    <t>Всего</t>
  </si>
  <si>
    <t>Явочное число рабочих в смену:</t>
  </si>
  <si>
    <t>Упаковщик</t>
  </si>
  <si>
    <t>Наладчик оборудования</t>
  </si>
  <si>
    <t xml:space="preserve">Грузчик </t>
  </si>
  <si>
    <t>Уборщик помещений</t>
  </si>
  <si>
    <r>
      <rPr>
        <sz val="12"/>
        <color theme="1"/>
        <rFont val="Calibri"/>
        <family val="2"/>
        <charset val="204"/>
        <scheme val="minor"/>
      </rPr>
      <t>Оператор</t>
    </r>
    <r>
      <rPr>
        <sz val="12"/>
        <color rgb="FF000000"/>
        <rFont val="Calibri"/>
        <family val="2"/>
        <charset val="204"/>
        <scheme val="minor"/>
      </rPr>
      <t xml:space="preserve"> </t>
    </r>
  </si>
  <si>
    <r>
      <t>Э</t>
    </r>
    <r>
      <rPr>
        <sz val="12"/>
        <color rgb="FF000000"/>
        <rFont val="Calibri"/>
        <family val="2"/>
        <charset val="204"/>
        <scheme val="minor"/>
      </rPr>
      <t>лектрик</t>
    </r>
  </si>
  <si>
    <t>Тарифные разряды:</t>
  </si>
  <si>
    <t>Эффективный фонд рабочего времени всех рабочих, ч</t>
  </si>
  <si>
    <t>Размер премии, %</t>
  </si>
  <si>
    <t>Основных рабочих</t>
  </si>
  <si>
    <t>Элементы фонда оплаты труда, руб.</t>
  </si>
  <si>
    <t>Таблица 5. Расчет годового фонда заработной платы рабочих</t>
  </si>
  <si>
    <t>Таблица 6. Расчет фонда оплаты труда руководителей, специалистов и технических исполнителей</t>
  </si>
  <si>
    <t>Основная з/п</t>
  </si>
  <si>
    <t>Месячный должностной оклад, руб.</t>
  </si>
  <si>
    <t>Наименование должности</t>
  </si>
  <si>
    <t>Число руководителей, специалистов:</t>
  </si>
  <si>
    <t xml:space="preserve">Начальник подразделения </t>
  </si>
  <si>
    <t>Явочная численность, чел.</t>
  </si>
  <si>
    <t xml:space="preserve">Таблица 7. Итоговые показатели </t>
  </si>
  <si>
    <t xml:space="preserve">Показатели </t>
  </si>
  <si>
    <t>Годовой объем произведенной продукции, работ, услуг, тыс. руб.</t>
  </si>
  <si>
    <t>Годовой фонд оплаты труда всех работающих, руб.</t>
  </si>
  <si>
    <t>Численность списочная персонала, чел.</t>
  </si>
  <si>
    <t>Среднегодовая заработная плата, руб.</t>
  </si>
  <si>
    <t>Среднемесячная заработная плата, руб.</t>
  </si>
  <si>
    <t>Производительность труда 1-го работающего, тыс. руб./год</t>
  </si>
  <si>
    <t>Производительность труда 1-го работающего, тыс. руб./час</t>
  </si>
  <si>
    <t>Расчет фонда оплаты труда работников подразделения и показателей эффективности трудовых ресурсов</t>
  </si>
  <si>
    <t>7. Планируемые потери времени, ч</t>
  </si>
  <si>
    <t>Методические указания</t>
  </si>
  <si>
    <t>Ячейки,выделенные цветом, предназначены для заполнения!</t>
  </si>
  <si>
    <t>1. Для расчета необходимой численности рабочих и фонда их заработной платы необходимо составить баланс рабочего времени одного среднесписочного рабочего. Рассчитывается эффективный фонд среднесписочного рабочего (определяются показатели таблицы 1 в соотвествии с указаниями в первом столбце)</t>
  </si>
  <si>
    <t>9. Эффективный фонд рабочего времени в среднем за месяц, ч (п.8/12)</t>
  </si>
  <si>
    <t xml:space="preserve">2. Планирование фонда заработной платы выполняется в зависимости от категории работающих. Часовая тарифная ставка i-го разряда определяется произведением тарифной ставки 1 разряда на тарифный коэффициент (таблица 3). Часовая тарифная ставка 1 разряда расчитывается делением тарифной ставки 1 разряда за месяц на количество рабочих часов за месяц (см. таблицу 1) </t>
  </si>
  <si>
    <t>3. Явочный состав определяется путем умножения явочного числа рабочих в смену на количество смен</t>
  </si>
  <si>
    <t>4. Списочный состав определяется путем умножения явочного числа рабочих на переводной коэффициент, который рассчитывается по формуле (данные взять из таблицы 1)</t>
  </si>
  <si>
    <t>5. Тарифный фонд оплаты труда рассчитывается произведением эффективного фонда времени (ч) списочного сотава рабочих на часовую тарифную ставку соответствующего разряда</t>
  </si>
  <si>
    <t>6. При планировании фонда заработной платы производственных рабочих выделяют основную и дополнительную заработную плату. К основной заработной плате относится тарифный фонд заработной платы, премии по действующим премиальным положениям и доплаты за вредность, работу в ночное и вечернее время, за бригадирство и обучение учеников.
К дополнительной заработной плате относятся различные выплаты работникам за невыполненную работу в соответствии с действующим законодательством (подросткам и кормящим матерям за сокращенный рабочий день; оплата очередных и дополнительных отпусков; оплата невыходов в связи с выполнением государственных и общественных обязанностей).</t>
  </si>
  <si>
    <t>1. Тарифный фонд оплаты труда</t>
  </si>
  <si>
    <t xml:space="preserve">2. Премии </t>
  </si>
  <si>
    <t>3. Доплаты за работу в вечернее время (20%)</t>
  </si>
  <si>
    <t>4. Доплаты за работу в ночное время (40%)</t>
  </si>
  <si>
    <t>6. Дополнительная зарплата, ставка в %</t>
  </si>
  <si>
    <t>7. Дополнительная зарплата, руб.</t>
  </si>
  <si>
    <t>5. Итого основная заработная плата (п.1+п.2+п.3+п.4)</t>
  </si>
  <si>
    <t>Всего (п.5+п.7)</t>
  </si>
  <si>
    <t>Доплаты за вечернее время = Годовой тарифный фонд / 3 * 20/100</t>
  </si>
  <si>
    <r>
      <t>Процент дополнительной заработной платы (α) может быть определен укрупненно на основании баланса рабочего времени одного среднесписочного рабочего путем деления количества дней планируемых невыходов на работу за исключением невыходов по болезни и декретным отпускам (Т</t>
    </r>
    <r>
      <rPr>
        <vertAlign val="subscript"/>
        <sz val="12"/>
        <color rgb="FF000000"/>
        <rFont val="Calibri"/>
        <family val="2"/>
        <charset val="204"/>
        <scheme val="minor"/>
      </rPr>
      <t>невых</t>
    </r>
    <r>
      <rPr>
        <sz val="12"/>
        <color rgb="FF000000"/>
        <rFont val="Calibri"/>
        <family val="2"/>
        <charset val="204"/>
        <scheme val="minor"/>
      </rPr>
      <t>) на число рабочих дней в году (Т</t>
    </r>
    <r>
      <rPr>
        <vertAlign val="subscript"/>
        <sz val="12"/>
        <color rgb="FF000000"/>
        <rFont val="Calibri"/>
        <family val="2"/>
        <charset val="204"/>
        <scheme val="minor"/>
      </rPr>
      <t>раб</t>
    </r>
    <r>
      <rPr>
        <sz val="12"/>
        <color rgb="FF000000"/>
        <rFont val="Calibri"/>
        <family val="2"/>
        <charset val="204"/>
        <scheme val="minor"/>
      </rPr>
      <t>) и умножением на 100%.</t>
    </r>
  </si>
  <si>
    <t>7. Премии определяются на основе действующих премиальных положений предприятия (см. исходные данные).
Ночным временем в трудовом праве считается время с 22.00 до 6.00. Предприятие самостоятельно в коллективном договоре определяет сумму доплат за работу в вечернее и ночное время, исходя из своих финансовых возможностей. Но эта доплата должна быть не ниже соответственно 20 и 40% часовой тарифной ставки работника за каждый час работы в вечернее и ночное время (режим работы см. в исходных данных). Укрупненный расчет проводится по формулам</t>
  </si>
  <si>
    <t>Доп. з/п (см. п.6 табл. 5)</t>
  </si>
  <si>
    <t>Премии (см. исх. данные)</t>
  </si>
  <si>
    <r>
      <t>ЗП</t>
    </r>
    <r>
      <rPr>
        <b/>
        <vertAlign val="subscript"/>
        <sz val="12"/>
        <color theme="1"/>
        <rFont val="Calibri"/>
        <family val="2"/>
        <charset val="204"/>
        <scheme val="minor"/>
      </rPr>
      <t>ср</t>
    </r>
    <r>
      <rPr>
        <b/>
        <sz val="12"/>
        <color theme="1"/>
        <rFont val="Calibri"/>
        <family val="2"/>
        <charset val="204"/>
        <scheme val="minor"/>
      </rPr>
      <t xml:space="preserve"> = ∑ФОТ / Ч</t>
    </r>
    <r>
      <rPr>
        <b/>
        <vertAlign val="subscript"/>
        <sz val="12"/>
        <color theme="1"/>
        <rFont val="Calibri"/>
        <family val="2"/>
        <charset val="204"/>
        <scheme val="minor"/>
      </rPr>
      <t>сп</t>
    </r>
  </si>
  <si>
    <r>
      <t>ПТ = ТП / Ч</t>
    </r>
    <r>
      <rPr>
        <b/>
        <vertAlign val="subscript"/>
        <sz val="12"/>
        <color theme="1"/>
        <rFont val="Calibri"/>
        <family val="2"/>
        <charset val="204"/>
        <scheme val="minor"/>
      </rPr>
      <t>сп</t>
    </r>
    <r>
      <rPr>
        <b/>
        <sz val="12"/>
        <color theme="1"/>
        <rFont val="Calibri"/>
        <family val="2"/>
        <charset val="204"/>
        <scheme val="minor"/>
      </rPr>
      <t xml:space="preserve"> </t>
    </r>
  </si>
  <si>
    <r>
      <t>где ∑ФОТ – годовой плановый фонд заработной платы работающих, руб.; Ч</t>
    </r>
    <r>
      <rPr>
        <vertAlign val="subscript"/>
        <sz val="12"/>
        <color theme="1"/>
        <rFont val="Calibri"/>
        <family val="2"/>
        <charset val="204"/>
        <scheme val="minor"/>
      </rPr>
      <t>сп</t>
    </r>
    <r>
      <rPr>
        <sz val="12"/>
        <color theme="1"/>
        <rFont val="Calibri"/>
        <family val="2"/>
        <charset val="204"/>
        <scheme val="minor"/>
      </rPr>
      <t xml:space="preserve"> – среднесписочная численность работающих, чел.</t>
    </r>
  </si>
  <si>
    <t>8. Численность руководителей, специалистов берется из штатных расписаний цехов (таблица 6). 
Планирование фонда заработной платы руководителей, специалистов и технических исполнителей производится на основании численности данных категорий работников, установленных им должностных окладов и персональных надбавок, действующих премиальных положений. При расчете годового фонда оплаты труда необходимо учесть численность персонала, месячный оклад и количество месяцев в году</t>
  </si>
  <si>
    <t>9. Результаты расчета численности и фонда заработной платы работающих представляются в таблице 7. Кроме расчетов численности и фонда оплаты труда, в плане по труду производится расчет средней заработной платы и производительности труда:</t>
  </si>
  <si>
    <t>Ксп=Тном / Tэф</t>
  </si>
  <si>
    <r>
      <t>α =(Т</t>
    </r>
    <r>
      <rPr>
        <b/>
        <vertAlign val="subscript"/>
        <sz val="12"/>
        <color rgb="FF000000"/>
        <rFont val="Calibri"/>
        <family val="2"/>
        <charset val="204"/>
        <scheme val="minor"/>
      </rPr>
      <t>невых</t>
    </r>
    <r>
      <rPr>
        <b/>
        <sz val="12"/>
        <color rgb="FF000000"/>
        <rFont val="Calibri"/>
        <family val="2"/>
        <charset val="204"/>
        <scheme val="minor"/>
      </rPr>
      <t>/Тэф</t>
    </r>
    <r>
      <rPr>
        <b/>
        <sz val="12"/>
        <color rgb="FF000000"/>
        <rFont val="Calibri"/>
        <family val="2"/>
        <charset val="204"/>
        <scheme val="minor"/>
      </rPr>
      <t>)·100%</t>
    </r>
  </si>
  <si>
    <t>Производительность труда 1-го работающего, тыс. руб./смену</t>
  </si>
  <si>
    <t>5. Эффективный фонд времени в днях (п.3-п.4)</t>
  </si>
  <si>
    <t>Доплаты за вночное время = Годовой тарифный фонд / 3 * 40/100</t>
  </si>
  <si>
    <t>Ксп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</si>
</sst>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4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4"/>
      <color rgb="FFC00000"/>
      <name val="Calibri"/>
      <family val="2"/>
      <charset val="204"/>
      <scheme val="minor"/>
    </font>
    <font>
      <vertAlign val="subscript"/>
      <sz val="12"/>
      <color rgb="FF000000"/>
      <name val="Calibri"/>
      <family val="2"/>
      <charset val="204"/>
      <scheme val="minor"/>
    </font>
    <font>
      <vertAlign val="subscript"/>
      <sz val="12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b/>
      <vertAlign val="subscript"/>
      <sz val="12"/>
      <color rgb="FF000000"/>
      <name val="Calibri"/>
      <family val="2"/>
      <charset val="204"/>
      <scheme val="minor"/>
    </font>
    <font>
      <b/>
      <vertAlign val="subscript"/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0" xfId="0" applyFont="1"/>
    <xf numFmtId="0" fontId="0" fillId="0" borderId="0" xfId="0" applyFont="1"/>
    <xf numFmtId="0" fontId="4" fillId="0" borderId="0" xfId="0" applyFont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justify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" fontId="5" fillId="0" borderId="0" xfId="0" applyNumberFormat="1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1" fontId="9" fillId="0" borderId="5" xfId="0" applyNumberFormat="1" applyFont="1" applyBorder="1" applyAlignment="1">
      <alignment horizontal="center" vertical="center" wrapText="1"/>
    </xf>
    <xf numFmtId="1" fontId="5" fillId="3" borderId="5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1" fontId="5" fillId="3" borderId="0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0" fillId="0" borderId="1" xfId="0" applyFont="1" applyBorder="1" applyAlignment="1">
      <alignment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justify" vertical="center" wrapText="1"/>
    </xf>
    <xf numFmtId="0" fontId="0" fillId="0" borderId="0" xfId="0" applyFont="1" applyFill="1" applyBorder="1"/>
    <xf numFmtId="0" fontId="0" fillId="0" borderId="1" xfId="0" applyFont="1" applyFill="1" applyBorder="1" applyAlignment="1">
      <alignment horizontal="center" vertical="center" wrapText="1"/>
    </xf>
    <xf numFmtId="1" fontId="0" fillId="0" borderId="1" xfId="0" applyNumberFormat="1" applyFont="1" applyBorder="1" applyAlignment="1">
      <alignment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2" fontId="9" fillId="0" borderId="6" xfId="0" applyNumberFormat="1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textRotation="90" wrapText="1"/>
    </xf>
    <xf numFmtId="2" fontId="9" fillId="0" borderId="8" xfId="0" applyNumberFormat="1" applyFont="1" applyBorder="1" applyAlignment="1">
      <alignment horizontal="center" vertical="center" wrapText="1"/>
    </xf>
    <xf numFmtId="0" fontId="5" fillId="3" borderId="8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justify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justify" vertical="center" wrapText="1"/>
    </xf>
    <xf numFmtId="0" fontId="5" fillId="0" borderId="1" xfId="0" applyFont="1" applyFill="1" applyBorder="1" applyAlignment="1">
      <alignment horizontal="justify" vertical="center" wrapText="1"/>
    </xf>
    <xf numFmtId="1" fontId="6" fillId="2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2" borderId="0" xfId="0" applyFont="1" applyFill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5" fillId="4" borderId="0" xfId="0" applyFont="1" applyFill="1" applyAlignment="1">
      <alignment horizontal="justify" vertical="center"/>
    </xf>
    <xf numFmtId="0" fontId="5" fillId="2" borderId="0" xfId="0" applyFont="1" applyFill="1" applyAlignment="1">
      <alignment horizontal="justify" vertical="center"/>
    </xf>
    <xf numFmtId="0" fontId="14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justify" vertical="center" wrapText="1"/>
    </xf>
    <xf numFmtId="1" fontId="15" fillId="2" borderId="1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justify" vertical="center" wrapText="1"/>
    </xf>
    <xf numFmtId="0" fontId="9" fillId="0" borderId="0" xfId="0" applyFont="1" applyAlignment="1">
      <alignment horizontal="justify" vertical="center"/>
    </xf>
    <xf numFmtId="0" fontId="9" fillId="4" borderId="0" xfId="0" applyFont="1" applyFill="1" applyAlignment="1">
      <alignment horizontal="left" vertical="center" wrapText="1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topLeftCell="A74" workbookViewId="0">
      <selection activeCell="B99" sqref="B99"/>
    </sheetView>
  </sheetViews>
  <sheetFormatPr defaultColWidth="8.81640625" defaultRowHeight="14.5" x14ac:dyDescent="0.35"/>
  <cols>
    <col min="1" max="1" width="59.6328125" style="2" customWidth="1"/>
    <col min="2" max="2" width="12.36328125" style="2" bestFit="1" customWidth="1"/>
    <col min="3" max="3" width="11" style="2" customWidth="1"/>
    <col min="4" max="4" width="10.7265625" style="2" customWidth="1"/>
    <col min="5" max="5" width="12.36328125" style="2" bestFit="1" customWidth="1"/>
    <col min="6" max="6" width="14" style="2" customWidth="1"/>
    <col min="7" max="7" width="11.26953125" style="2" customWidth="1"/>
    <col min="8" max="8" width="9.7265625" style="2" customWidth="1"/>
    <col min="9" max="9" width="10.1796875" style="2" customWidth="1"/>
    <col min="10" max="16384" width="8.81640625" style="2"/>
  </cols>
  <sheetData>
    <row r="1" spans="1:11" ht="18.5" x14ac:dyDescent="0.45">
      <c r="A1" s="1" t="s">
        <v>78</v>
      </c>
    </row>
    <row r="3" spans="1:11" ht="15.5" x14ac:dyDescent="0.35">
      <c r="A3" s="86" t="s">
        <v>10</v>
      </c>
      <c r="B3" s="87"/>
      <c r="C3" s="87"/>
      <c r="D3" s="87"/>
      <c r="E3" s="87"/>
      <c r="F3" s="87"/>
      <c r="G3" s="87"/>
      <c r="H3" s="87"/>
      <c r="I3" s="87"/>
      <c r="J3" s="87"/>
      <c r="K3" s="88"/>
    </row>
    <row r="4" spans="1:11" ht="15" customHeight="1" x14ac:dyDescent="0.35">
      <c r="A4" s="5" t="s">
        <v>0</v>
      </c>
      <c r="B4" s="89" t="s">
        <v>1</v>
      </c>
      <c r="C4" s="90"/>
      <c r="D4" s="90"/>
      <c r="E4" s="90"/>
      <c r="F4" s="90"/>
      <c r="G4" s="90"/>
      <c r="H4" s="90"/>
      <c r="I4" s="90"/>
      <c r="J4" s="90"/>
      <c r="K4" s="91"/>
    </row>
    <row r="5" spans="1:11" ht="15.5" x14ac:dyDescent="0.35">
      <c r="A5" s="5"/>
      <c r="B5" s="67">
        <v>1</v>
      </c>
      <c r="C5" s="68">
        <v>2</v>
      </c>
      <c r="D5" s="68">
        <v>3</v>
      </c>
      <c r="E5" s="68">
        <v>4</v>
      </c>
      <c r="F5" s="68">
        <v>5</v>
      </c>
      <c r="G5" s="68">
        <v>6</v>
      </c>
      <c r="H5" s="68">
        <v>7</v>
      </c>
      <c r="I5" s="68">
        <v>8</v>
      </c>
      <c r="J5" s="68">
        <v>9</v>
      </c>
      <c r="K5" s="68">
        <v>10</v>
      </c>
    </row>
    <row r="6" spans="1:11" ht="18.75" customHeight="1" x14ac:dyDescent="0.35">
      <c r="A6" s="4" t="s">
        <v>2</v>
      </c>
      <c r="B6" s="9">
        <v>365</v>
      </c>
      <c r="C6" s="9">
        <v>365</v>
      </c>
      <c r="D6" s="9">
        <v>366</v>
      </c>
      <c r="E6" s="9">
        <v>365</v>
      </c>
      <c r="F6" s="9">
        <v>365</v>
      </c>
      <c r="G6" s="9">
        <v>366</v>
      </c>
      <c r="H6" s="9">
        <v>365</v>
      </c>
      <c r="I6" s="9">
        <v>365</v>
      </c>
      <c r="J6" s="9">
        <v>366</v>
      </c>
      <c r="K6" s="9">
        <v>365</v>
      </c>
    </row>
    <row r="7" spans="1:11" ht="17.75" customHeight="1" x14ac:dyDescent="0.35">
      <c r="A7" s="4" t="s">
        <v>3</v>
      </c>
      <c r="B7" s="9">
        <v>113</v>
      </c>
      <c r="C7" s="9">
        <v>112</v>
      </c>
      <c r="D7" s="9">
        <v>111</v>
      </c>
      <c r="E7" s="9">
        <v>110</v>
      </c>
      <c r="F7" s="9">
        <v>109</v>
      </c>
      <c r="G7" s="9">
        <v>108</v>
      </c>
      <c r="H7" s="9">
        <v>113</v>
      </c>
      <c r="I7" s="9">
        <v>112</v>
      </c>
      <c r="J7" s="9">
        <v>111</v>
      </c>
      <c r="K7" s="9">
        <v>110</v>
      </c>
    </row>
    <row r="8" spans="1:11" ht="14.5" customHeight="1" x14ac:dyDescent="0.35">
      <c r="A8" s="4" t="s">
        <v>4</v>
      </c>
      <c r="B8" s="10"/>
      <c r="C8" s="10"/>
      <c r="D8" s="10"/>
      <c r="E8" s="10"/>
      <c r="F8" s="10">
        <f>F6-F7</f>
        <v>256</v>
      </c>
      <c r="G8" s="10"/>
      <c r="H8" s="10"/>
      <c r="I8" s="10"/>
      <c r="J8" s="10"/>
      <c r="K8" s="10"/>
    </row>
    <row r="9" spans="1:11" ht="15" customHeight="1" x14ac:dyDescent="0.35">
      <c r="A9" s="4" t="s">
        <v>37</v>
      </c>
      <c r="B9" s="10"/>
      <c r="C9" s="10"/>
      <c r="D9" s="10"/>
      <c r="E9" s="10"/>
      <c r="F9" s="10">
        <f>SUM(F10:F13)</f>
        <v>40</v>
      </c>
      <c r="G9" s="10"/>
      <c r="H9" s="10"/>
      <c r="I9" s="10"/>
      <c r="J9" s="10"/>
      <c r="K9" s="10"/>
    </row>
    <row r="10" spans="1:11" ht="16.75" customHeight="1" x14ac:dyDescent="0.35">
      <c r="A10" s="25" t="s">
        <v>5</v>
      </c>
      <c r="B10" s="9">
        <v>26</v>
      </c>
      <c r="C10" s="11">
        <v>28</v>
      </c>
      <c r="D10" s="11">
        <v>30</v>
      </c>
      <c r="E10" s="11">
        <v>31</v>
      </c>
      <c r="F10" s="11">
        <v>32</v>
      </c>
      <c r="G10" s="11">
        <v>28</v>
      </c>
      <c r="H10" s="11">
        <v>26</v>
      </c>
      <c r="I10" s="11">
        <v>27</v>
      </c>
      <c r="J10" s="11">
        <v>30</v>
      </c>
      <c r="K10" s="11">
        <v>32</v>
      </c>
    </row>
    <row r="11" spans="1:11" ht="19.899999999999999" customHeight="1" x14ac:dyDescent="0.35">
      <c r="A11" s="25" t="s">
        <v>6</v>
      </c>
      <c r="B11" s="9">
        <v>3</v>
      </c>
      <c r="C11" s="11">
        <v>1</v>
      </c>
      <c r="D11" s="11">
        <v>2</v>
      </c>
      <c r="E11" s="11">
        <v>0</v>
      </c>
      <c r="F11" s="11">
        <v>3</v>
      </c>
      <c r="G11" s="11">
        <v>2</v>
      </c>
      <c r="H11" s="11">
        <v>1</v>
      </c>
      <c r="I11" s="11">
        <v>2</v>
      </c>
      <c r="J11" s="11">
        <v>3</v>
      </c>
      <c r="K11" s="11">
        <v>0</v>
      </c>
    </row>
    <row r="12" spans="1:11" ht="14.5" customHeight="1" x14ac:dyDescent="0.35">
      <c r="A12" s="25" t="s">
        <v>7</v>
      </c>
      <c r="B12" s="9">
        <v>3</v>
      </c>
      <c r="C12" s="11">
        <v>2</v>
      </c>
      <c r="D12" s="11">
        <v>1</v>
      </c>
      <c r="E12" s="11">
        <v>4</v>
      </c>
      <c r="F12" s="11">
        <v>2</v>
      </c>
      <c r="G12" s="11">
        <v>1</v>
      </c>
      <c r="H12" s="11">
        <v>3</v>
      </c>
      <c r="I12" s="11">
        <v>2</v>
      </c>
      <c r="J12" s="11">
        <v>3</v>
      </c>
      <c r="K12" s="11">
        <v>1</v>
      </c>
    </row>
    <row r="13" spans="1:11" ht="32.25" customHeight="1" x14ac:dyDescent="0.35">
      <c r="A13" s="25" t="s">
        <v>8</v>
      </c>
      <c r="B13" s="9">
        <v>2</v>
      </c>
      <c r="C13" s="9">
        <v>1</v>
      </c>
      <c r="D13" s="9">
        <v>2</v>
      </c>
      <c r="E13" s="9">
        <v>0</v>
      </c>
      <c r="F13" s="9">
        <v>3</v>
      </c>
      <c r="G13" s="9">
        <v>0</v>
      </c>
      <c r="H13" s="9">
        <v>2</v>
      </c>
      <c r="I13" s="9">
        <v>1</v>
      </c>
      <c r="J13" s="9">
        <v>3</v>
      </c>
      <c r="K13" s="9">
        <v>2</v>
      </c>
    </row>
    <row r="14" spans="1:11" ht="17.25" customHeight="1" x14ac:dyDescent="0.35">
      <c r="A14" s="4" t="s">
        <v>110</v>
      </c>
      <c r="B14" s="10"/>
      <c r="C14" s="10"/>
      <c r="D14" s="10"/>
      <c r="E14" s="10"/>
      <c r="F14" s="10">
        <f>F8-F9</f>
        <v>216</v>
      </c>
      <c r="G14" s="10"/>
      <c r="H14" s="10"/>
      <c r="I14" s="10"/>
      <c r="J14" s="10"/>
      <c r="K14" s="10"/>
    </row>
    <row r="15" spans="1:11" ht="29.5" customHeight="1" x14ac:dyDescent="0.35">
      <c r="A15" s="4" t="s">
        <v>38</v>
      </c>
      <c r="B15" s="10"/>
      <c r="C15" s="10"/>
      <c r="D15" s="10"/>
      <c r="E15" s="10"/>
      <c r="F15" s="10">
        <f>F14*8</f>
        <v>1728</v>
      </c>
      <c r="G15" s="10"/>
      <c r="H15" s="10"/>
      <c r="I15" s="10"/>
      <c r="J15" s="10"/>
      <c r="K15" s="10"/>
    </row>
    <row r="16" spans="1:11" ht="15.5" x14ac:dyDescent="0.35">
      <c r="A16" s="4" t="s">
        <v>79</v>
      </c>
      <c r="B16" s="9">
        <v>10</v>
      </c>
      <c r="C16" s="9">
        <v>9</v>
      </c>
      <c r="D16" s="9">
        <v>28</v>
      </c>
      <c r="E16" s="9">
        <v>7</v>
      </c>
      <c r="F16" s="9">
        <v>15</v>
      </c>
      <c r="G16" s="9">
        <v>6</v>
      </c>
      <c r="H16" s="9">
        <v>10</v>
      </c>
      <c r="I16" s="9">
        <v>15</v>
      </c>
      <c r="J16" s="9">
        <v>10</v>
      </c>
      <c r="K16" s="9">
        <v>17</v>
      </c>
    </row>
    <row r="17" spans="1:11" ht="19.399999999999999" customHeight="1" x14ac:dyDescent="0.35">
      <c r="A17" s="4" t="s">
        <v>9</v>
      </c>
      <c r="B17" s="10"/>
      <c r="C17" s="10"/>
      <c r="D17" s="10"/>
      <c r="E17" s="10"/>
      <c r="F17" s="10">
        <f>F15-F16</f>
        <v>1713</v>
      </c>
      <c r="G17" s="10"/>
      <c r="H17" s="10"/>
      <c r="I17" s="10"/>
      <c r="J17" s="10"/>
      <c r="K17" s="10"/>
    </row>
    <row r="18" spans="1:11" ht="29" customHeight="1" x14ac:dyDescent="0.35">
      <c r="A18" s="4" t="s">
        <v>83</v>
      </c>
      <c r="B18" s="10"/>
      <c r="C18" s="10"/>
      <c r="D18" s="10"/>
      <c r="E18" s="10"/>
      <c r="F18" s="10">
        <f>F17/12</f>
        <v>142.75</v>
      </c>
      <c r="G18" s="10"/>
      <c r="H18" s="10"/>
      <c r="I18" s="10"/>
      <c r="J18" s="10"/>
      <c r="K18" s="10"/>
    </row>
    <row r="20" spans="1:11" ht="15.5" x14ac:dyDescent="0.35">
      <c r="A20" s="92" t="s">
        <v>42</v>
      </c>
      <c r="B20" s="92"/>
      <c r="C20" s="92"/>
      <c r="D20" s="92"/>
      <c r="E20" s="92"/>
      <c r="F20" s="92"/>
      <c r="G20" s="92"/>
      <c r="H20" s="92"/>
    </row>
    <row r="21" spans="1:11" ht="15.5" x14ac:dyDescent="0.35">
      <c r="A21" s="5" t="s">
        <v>0</v>
      </c>
      <c r="B21" s="89" t="s">
        <v>1</v>
      </c>
      <c r="C21" s="90"/>
      <c r="D21" s="90"/>
      <c r="E21" s="90"/>
      <c r="F21" s="90"/>
      <c r="G21" s="90"/>
      <c r="H21" s="90"/>
      <c r="I21" s="90"/>
      <c r="J21" s="90"/>
      <c r="K21" s="91"/>
    </row>
    <row r="22" spans="1:11" ht="15.5" x14ac:dyDescent="0.35">
      <c r="A22" s="5"/>
      <c r="B22" s="67">
        <v>1</v>
      </c>
      <c r="C22" s="68">
        <v>2</v>
      </c>
      <c r="D22" s="68">
        <v>3</v>
      </c>
      <c r="E22" s="68">
        <v>4</v>
      </c>
      <c r="F22" s="68">
        <v>5</v>
      </c>
      <c r="G22" s="68">
        <v>6</v>
      </c>
      <c r="H22" s="68">
        <v>7</v>
      </c>
      <c r="I22" s="68">
        <v>8</v>
      </c>
      <c r="J22" s="68">
        <v>9</v>
      </c>
      <c r="K22" s="68">
        <v>10</v>
      </c>
    </row>
    <row r="23" spans="1:11" ht="15.5" x14ac:dyDescent="0.35">
      <c r="A23" s="4" t="s">
        <v>41</v>
      </c>
      <c r="B23" s="9">
        <v>600</v>
      </c>
      <c r="C23" s="9">
        <v>520</v>
      </c>
      <c r="D23" s="9">
        <v>480</v>
      </c>
      <c r="E23" s="9">
        <v>660</v>
      </c>
      <c r="F23" s="9">
        <v>500</v>
      </c>
      <c r="G23" s="9">
        <v>450</v>
      </c>
      <c r="H23" s="9">
        <v>390</v>
      </c>
      <c r="I23" s="9">
        <v>670</v>
      </c>
      <c r="J23" s="9">
        <v>580</v>
      </c>
      <c r="K23" s="9">
        <v>490</v>
      </c>
    </row>
    <row r="24" spans="1:11" ht="15.5" x14ac:dyDescent="0.35">
      <c r="A24" s="4" t="s">
        <v>58</v>
      </c>
      <c r="B24" s="9">
        <v>50</v>
      </c>
      <c r="C24" s="9">
        <v>55</v>
      </c>
      <c r="D24" s="9">
        <v>60</v>
      </c>
      <c r="E24" s="9">
        <v>40</v>
      </c>
      <c r="F24" s="9">
        <v>45</v>
      </c>
      <c r="G24" s="9">
        <v>50</v>
      </c>
      <c r="H24" s="9">
        <v>55</v>
      </c>
      <c r="I24" s="9">
        <v>60</v>
      </c>
      <c r="J24" s="9">
        <v>45</v>
      </c>
      <c r="K24" s="9">
        <v>40</v>
      </c>
    </row>
    <row r="25" spans="1:11" ht="15.5" x14ac:dyDescent="0.35">
      <c r="A25" s="4" t="s">
        <v>43</v>
      </c>
      <c r="B25" s="9">
        <v>2</v>
      </c>
      <c r="C25" s="9">
        <v>3</v>
      </c>
      <c r="D25" s="9">
        <v>2</v>
      </c>
      <c r="E25" s="9">
        <v>3</v>
      </c>
      <c r="F25" s="9">
        <v>2</v>
      </c>
      <c r="G25" s="9">
        <v>3</v>
      </c>
      <c r="H25" s="9">
        <v>2</v>
      </c>
      <c r="I25" s="9">
        <v>3</v>
      </c>
      <c r="J25" s="9">
        <v>2</v>
      </c>
      <c r="K25" s="9">
        <v>3</v>
      </c>
    </row>
    <row r="26" spans="1:11" ht="31" x14ac:dyDescent="0.35">
      <c r="A26" s="4" t="s">
        <v>71</v>
      </c>
      <c r="B26" s="9">
        <v>13380</v>
      </c>
      <c r="C26" s="9">
        <v>15960</v>
      </c>
      <c r="D26" s="9">
        <v>16040</v>
      </c>
      <c r="E26" s="9">
        <v>27300</v>
      </c>
      <c r="F26" s="9">
        <v>38420</v>
      </c>
      <c r="G26" s="9">
        <v>4760</v>
      </c>
      <c r="H26" s="9">
        <v>23500</v>
      </c>
      <c r="I26" s="9">
        <v>19450</v>
      </c>
      <c r="J26" s="9">
        <v>21360</v>
      </c>
      <c r="K26" s="9">
        <v>14790</v>
      </c>
    </row>
    <row r="27" spans="1:11" ht="15.5" x14ac:dyDescent="0.35">
      <c r="A27" s="13" t="s">
        <v>49</v>
      </c>
      <c r="B27" s="19"/>
      <c r="C27" s="20"/>
      <c r="D27" s="20"/>
      <c r="E27" s="20"/>
      <c r="F27" s="20"/>
      <c r="G27" s="20"/>
      <c r="H27" s="20"/>
      <c r="I27" s="20"/>
      <c r="J27" s="9"/>
      <c r="K27" s="9"/>
    </row>
    <row r="28" spans="1:11" ht="15.5" x14ac:dyDescent="0.35">
      <c r="A28" s="22" t="s">
        <v>54</v>
      </c>
      <c r="B28" s="23">
        <v>1</v>
      </c>
      <c r="C28" s="24">
        <v>2</v>
      </c>
      <c r="D28" s="24">
        <v>3</v>
      </c>
      <c r="E28" s="24">
        <v>4</v>
      </c>
      <c r="F28" s="24">
        <v>2</v>
      </c>
      <c r="G28" s="24">
        <v>1</v>
      </c>
      <c r="H28" s="24">
        <v>4</v>
      </c>
      <c r="I28" s="24">
        <v>3</v>
      </c>
      <c r="J28" s="9">
        <v>3</v>
      </c>
      <c r="K28" s="9">
        <v>2</v>
      </c>
    </row>
    <row r="29" spans="1:11" ht="15.5" x14ac:dyDescent="0.35">
      <c r="A29" s="22" t="s">
        <v>50</v>
      </c>
      <c r="B29" s="23">
        <v>5</v>
      </c>
      <c r="C29" s="24">
        <v>4</v>
      </c>
      <c r="D29" s="24">
        <v>5</v>
      </c>
      <c r="E29" s="24">
        <v>6</v>
      </c>
      <c r="F29" s="24">
        <v>3</v>
      </c>
      <c r="G29" s="24">
        <v>4</v>
      </c>
      <c r="H29" s="24">
        <v>5</v>
      </c>
      <c r="I29" s="24">
        <v>6</v>
      </c>
      <c r="J29" s="9">
        <v>4</v>
      </c>
      <c r="K29" s="9">
        <v>5</v>
      </c>
    </row>
    <row r="30" spans="1:11" ht="15.5" x14ac:dyDescent="0.35">
      <c r="A30" s="25" t="s">
        <v>55</v>
      </c>
      <c r="B30" s="23">
        <v>1</v>
      </c>
      <c r="C30" s="24">
        <v>1</v>
      </c>
      <c r="D30" s="24">
        <v>2</v>
      </c>
      <c r="E30" s="24">
        <v>1</v>
      </c>
      <c r="F30" s="24">
        <v>2</v>
      </c>
      <c r="G30" s="24">
        <v>3</v>
      </c>
      <c r="H30" s="24">
        <v>2</v>
      </c>
      <c r="I30" s="24">
        <v>1</v>
      </c>
      <c r="J30" s="9">
        <v>2</v>
      </c>
      <c r="K30" s="9">
        <v>1</v>
      </c>
    </row>
    <row r="31" spans="1:11" ht="15.5" x14ac:dyDescent="0.35">
      <c r="A31" s="25" t="s">
        <v>51</v>
      </c>
      <c r="B31" s="23">
        <v>1</v>
      </c>
      <c r="C31" s="24">
        <v>2</v>
      </c>
      <c r="D31" s="24">
        <v>3</v>
      </c>
      <c r="E31" s="24">
        <v>1</v>
      </c>
      <c r="F31" s="24">
        <v>2</v>
      </c>
      <c r="G31" s="24">
        <v>3</v>
      </c>
      <c r="H31" s="24">
        <v>1</v>
      </c>
      <c r="I31" s="24">
        <v>2</v>
      </c>
      <c r="J31" s="9">
        <v>3</v>
      </c>
      <c r="K31" s="9">
        <v>1</v>
      </c>
    </row>
    <row r="32" spans="1:11" ht="15.5" x14ac:dyDescent="0.35">
      <c r="A32" s="25" t="s">
        <v>52</v>
      </c>
      <c r="B32" s="23">
        <v>2</v>
      </c>
      <c r="C32" s="24">
        <v>2</v>
      </c>
      <c r="D32" s="24">
        <v>3</v>
      </c>
      <c r="E32" s="24">
        <v>1</v>
      </c>
      <c r="F32" s="24">
        <v>3</v>
      </c>
      <c r="G32" s="24">
        <v>2</v>
      </c>
      <c r="H32" s="24">
        <v>2</v>
      </c>
      <c r="I32" s="24">
        <v>3</v>
      </c>
      <c r="J32" s="9">
        <v>1</v>
      </c>
      <c r="K32" s="9">
        <v>1</v>
      </c>
    </row>
    <row r="33" spans="1:12" ht="15.5" x14ac:dyDescent="0.35">
      <c r="A33" s="22" t="s">
        <v>53</v>
      </c>
      <c r="B33" s="23">
        <v>3</v>
      </c>
      <c r="C33" s="24">
        <v>1</v>
      </c>
      <c r="D33" s="24">
        <v>2</v>
      </c>
      <c r="E33" s="24">
        <v>1</v>
      </c>
      <c r="F33" s="24">
        <v>3</v>
      </c>
      <c r="G33" s="24">
        <v>2</v>
      </c>
      <c r="H33" s="24">
        <v>2</v>
      </c>
      <c r="I33" s="24">
        <v>1</v>
      </c>
      <c r="J33" s="9">
        <v>3</v>
      </c>
      <c r="K33" s="9">
        <v>1</v>
      </c>
    </row>
    <row r="34" spans="1:12" ht="15.5" x14ac:dyDescent="0.35">
      <c r="A34" s="28" t="s">
        <v>56</v>
      </c>
      <c r="B34" s="26"/>
      <c r="C34" s="27"/>
      <c r="D34" s="27"/>
      <c r="E34" s="27"/>
      <c r="F34" s="27"/>
      <c r="G34" s="27"/>
      <c r="H34" s="27"/>
      <c r="I34" s="27"/>
      <c r="J34" s="9"/>
      <c r="K34" s="9"/>
    </row>
    <row r="35" spans="1:12" ht="15.5" x14ac:dyDescent="0.35">
      <c r="A35" s="22" t="s">
        <v>54</v>
      </c>
      <c r="B35" s="26">
        <v>6</v>
      </c>
      <c r="C35" s="27">
        <v>7</v>
      </c>
      <c r="D35" s="27">
        <v>6</v>
      </c>
      <c r="E35" s="27">
        <v>5</v>
      </c>
      <c r="F35" s="27">
        <v>8</v>
      </c>
      <c r="G35" s="27">
        <v>8</v>
      </c>
      <c r="H35" s="27">
        <v>7</v>
      </c>
      <c r="I35" s="27">
        <v>6</v>
      </c>
      <c r="J35" s="9">
        <v>7</v>
      </c>
      <c r="K35" s="9">
        <v>8</v>
      </c>
    </row>
    <row r="36" spans="1:12" ht="15.5" x14ac:dyDescent="0.35">
      <c r="A36" s="22" t="s">
        <v>50</v>
      </c>
      <c r="B36" s="26">
        <v>4</v>
      </c>
      <c r="C36" s="27">
        <v>3</v>
      </c>
      <c r="D36" s="27">
        <v>4</v>
      </c>
      <c r="E36" s="27">
        <v>4</v>
      </c>
      <c r="F36" s="27">
        <v>3</v>
      </c>
      <c r="G36" s="27">
        <v>4</v>
      </c>
      <c r="H36" s="27">
        <v>3</v>
      </c>
      <c r="I36" s="27">
        <v>4</v>
      </c>
      <c r="J36" s="9">
        <v>3</v>
      </c>
      <c r="K36" s="9">
        <v>4</v>
      </c>
    </row>
    <row r="37" spans="1:12" ht="15.5" x14ac:dyDescent="0.35">
      <c r="A37" s="25" t="s">
        <v>55</v>
      </c>
      <c r="B37" s="26">
        <v>5</v>
      </c>
      <c r="C37" s="27">
        <v>5</v>
      </c>
      <c r="D37" s="27">
        <v>4</v>
      </c>
      <c r="E37" s="27">
        <v>6</v>
      </c>
      <c r="F37" s="27">
        <v>5</v>
      </c>
      <c r="G37" s="27">
        <v>5</v>
      </c>
      <c r="H37" s="27">
        <v>4</v>
      </c>
      <c r="I37" s="27">
        <v>6</v>
      </c>
      <c r="J37" s="9">
        <v>5</v>
      </c>
      <c r="K37" s="9">
        <v>4</v>
      </c>
    </row>
    <row r="38" spans="1:12" ht="15.5" x14ac:dyDescent="0.35">
      <c r="A38" s="25" t="s">
        <v>51</v>
      </c>
      <c r="B38" s="26">
        <v>7</v>
      </c>
      <c r="C38" s="27">
        <v>6</v>
      </c>
      <c r="D38" s="27">
        <v>8</v>
      </c>
      <c r="E38" s="27">
        <v>5</v>
      </c>
      <c r="F38" s="27">
        <v>6</v>
      </c>
      <c r="G38" s="27">
        <v>7</v>
      </c>
      <c r="H38" s="27">
        <v>8</v>
      </c>
      <c r="I38" s="27">
        <v>5</v>
      </c>
      <c r="J38" s="9">
        <v>6</v>
      </c>
      <c r="K38" s="9">
        <v>7</v>
      </c>
    </row>
    <row r="39" spans="1:12" ht="15.5" x14ac:dyDescent="0.35">
      <c r="A39" s="25" t="s">
        <v>52</v>
      </c>
      <c r="B39" s="26">
        <v>3</v>
      </c>
      <c r="C39" s="27">
        <v>2</v>
      </c>
      <c r="D39" s="27">
        <v>3</v>
      </c>
      <c r="E39" s="27">
        <v>2</v>
      </c>
      <c r="F39" s="27">
        <v>2</v>
      </c>
      <c r="G39" s="27">
        <v>3</v>
      </c>
      <c r="H39" s="27">
        <v>2</v>
      </c>
      <c r="I39" s="27">
        <v>3</v>
      </c>
      <c r="J39" s="9">
        <v>2</v>
      </c>
      <c r="K39" s="9">
        <v>3</v>
      </c>
    </row>
    <row r="40" spans="1:12" ht="15.5" x14ac:dyDescent="0.35">
      <c r="A40" s="22" t="s">
        <v>53</v>
      </c>
      <c r="B40" s="26">
        <v>2</v>
      </c>
      <c r="C40" s="27">
        <v>2</v>
      </c>
      <c r="D40" s="27">
        <v>3</v>
      </c>
      <c r="E40" s="27">
        <v>1</v>
      </c>
      <c r="F40" s="27">
        <v>2</v>
      </c>
      <c r="G40" s="27">
        <v>2</v>
      </c>
      <c r="H40" s="27">
        <v>1</v>
      </c>
      <c r="I40" s="27">
        <v>3</v>
      </c>
      <c r="J40" s="9">
        <v>2</v>
      </c>
      <c r="K40" s="9">
        <v>2</v>
      </c>
    </row>
    <row r="41" spans="1:12" ht="15.5" x14ac:dyDescent="0.35">
      <c r="A41" s="60" t="s">
        <v>66</v>
      </c>
      <c r="B41" s="23"/>
      <c r="C41" s="24"/>
      <c r="D41" s="24"/>
      <c r="E41" s="24"/>
      <c r="F41" s="24"/>
      <c r="G41" s="24"/>
      <c r="H41" s="24"/>
      <c r="I41" s="24"/>
      <c r="J41" s="9"/>
      <c r="K41" s="9"/>
    </row>
    <row r="42" spans="1:12" ht="15.5" x14ac:dyDescent="0.35">
      <c r="A42" s="25" t="s">
        <v>67</v>
      </c>
      <c r="B42" s="23">
        <v>1</v>
      </c>
      <c r="C42" s="24">
        <v>2</v>
      </c>
      <c r="D42" s="24">
        <v>1</v>
      </c>
      <c r="E42" s="24">
        <v>2</v>
      </c>
      <c r="F42" s="24">
        <v>1</v>
      </c>
      <c r="G42" s="24">
        <v>2</v>
      </c>
      <c r="H42" s="24">
        <v>1</v>
      </c>
      <c r="I42" s="24">
        <v>2</v>
      </c>
      <c r="J42" s="9">
        <v>1</v>
      </c>
      <c r="K42" s="9">
        <v>2</v>
      </c>
    </row>
    <row r="43" spans="1:12" ht="15.5" x14ac:dyDescent="0.35">
      <c r="A43" s="25" t="s">
        <v>34</v>
      </c>
      <c r="B43" s="23">
        <v>1</v>
      </c>
      <c r="C43" s="24">
        <v>2</v>
      </c>
      <c r="D43" s="24">
        <v>3</v>
      </c>
      <c r="E43" s="24">
        <v>1</v>
      </c>
      <c r="F43" s="24">
        <v>2</v>
      </c>
      <c r="G43" s="24">
        <v>3</v>
      </c>
      <c r="H43" s="24">
        <v>1</v>
      </c>
      <c r="I43" s="24">
        <v>2</v>
      </c>
      <c r="J43" s="9">
        <v>3</v>
      </c>
      <c r="K43" s="9">
        <v>1</v>
      </c>
      <c r="L43" s="38"/>
    </row>
    <row r="44" spans="1:12" ht="15.5" x14ac:dyDescent="0.35">
      <c r="A44" s="25" t="s">
        <v>35</v>
      </c>
      <c r="B44" s="23">
        <v>2</v>
      </c>
      <c r="C44" s="24">
        <v>3</v>
      </c>
      <c r="D44" s="24">
        <v>1</v>
      </c>
      <c r="E44" s="24">
        <v>2</v>
      </c>
      <c r="F44" s="24">
        <v>3</v>
      </c>
      <c r="G44" s="24">
        <v>1</v>
      </c>
      <c r="H44" s="24">
        <v>2</v>
      </c>
      <c r="I44" s="24">
        <v>3</v>
      </c>
      <c r="J44" s="9">
        <v>1</v>
      </c>
      <c r="K44" s="9">
        <v>2</v>
      </c>
      <c r="L44" s="29"/>
    </row>
    <row r="45" spans="1:12" ht="15.5" x14ac:dyDescent="0.35">
      <c r="A45" s="61" t="s">
        <v>64</v>
      </c>
      <c r="B45" s="23"/>
      <c r="C45" s="24"/>
      <c r="D45" s="24"/>
      <c r="E45" s="24"/>
      <c r="F45" s="24"/>
      <c r="G45" s="24"/>
      <c r="H45" s="24"/>
      <c r="I45" s="24"/>
      <c r="J45" s="9"/>
      <c r="K45" s="9"/>
      <c r="L45" s="38"/>
    </row>
    <row r="46" spans="1:12" ht="15.5" x14ac:dyDescent="0.35">
      <c r="A46" s="25" t="s">
        <v>33</v>
      </c>
      <c r="B46" s="23">
        <v>3500</v>
      </c>
      <c r="C46" s="24">
        <v>3100</v>
      </c>
      <c r="D46" s="24">
        <v>3150</v>
      </c>
      <c r="E46" s="24">
        <v>2900</v>
      </c>
      <c r="F46" s="24">
        <v>2180</v>
      </c>
      <c r="G46" s="24">
        <v>3010</v>
      </c>
      <c r="H46" s="24">
        <v>2240</v>
      </c>
      <c r="I46" s="24">
        <v>2670</v>
      </c>
      <c r="J46" s="9">
        <v>2550</v>
      </c>
      <c r="K46" s="9">
        <v>3140</v>
      </c>
    </row>
    <row r="47" spans="1:12" ht="15.5" x14ac:dyDescent="0.35">
      <c r="A47" s="25" t="s">
        <v>34</v>
      </c>
      <c r="B47" s="23">
        <v>3160</v>
      </c>
      <c r="C47" s="24">
        <v>2800</v>
      </c>
      <c r="D47" s="24">
        <v>2750</v>
      </c>
      <c r="E47" s="24">
        <v>2210</v>
      </c>
      <c r="F47" s="24">
        <v>1800</v>
      </c>
      <c r="G47" s="24">
        <v>2460</v>
      </c>
      <c r="H47" s="24">
        <v>1900</v>
      </c>
      <c r="I47" s="24">
        <v>2300</v>
      </c>
      <c r="J47" s="9">
        <v>2040</v>
      </c>
      <c r="K47" s="9">
        <v>2760</v>
      </c>
    </row>
    <row r="48" spans="1:12" ht="15.5" x14ac:dyDescent="0.35">
      <c r="A48" s="25" t="s">
        <v>35</v>
      </c>
      <c r="B48" s="23">
        <v>2900</v>
      </c>
      <c r="C48" s="24">
        <v>2580</v>
      </c>
      <c r="D48" s="24">
        <v>2400</v>
      </c>
      <c r="E48" s="24">
        <v>2030</v>
      </c>
      <c r="F48" s="24">
        <v>1750</v>
      </c>
      <c r="G48" s="24">
        <v>2170</v>
      </c>
      <c r="H48" s="24">
        <v>1710</v>
      </c>
      <c r="I48" s="24">
        <v>2055</v>
      </c>
      <c r="J48" s="9">
        <v>1880</v>
      </c>
      <c r="K48" s="9">
        <v>2255</v>
      </c>
    </row>
    <row r="49" spans="1:11" ht="15.5" x14ac:dyDescent="0.35">
      <c r="A49" s="15"/>
      <c r="B49" s="18"/>
      <c r="C49" s="18"/>
      <c r="D49" s="18"/>
      <c r="E49" s="18"/>
      <c r="F49" s="18"/>
      <c r="G49" s="18"/>
      <c r="H49" s="18"/>
      <c r="I49" s="18"/>
      <c r="J49" s="18"/>
      <c r="K49" s="18"/>
    </row>
    <row r="50" spans="1:11" ht="15.5" x14ac:dyDescent="0.35">
      <c r="A50" s="92" t="s">
        <v>39</v>
      </c>
      <c r="B50" s="92"/>
      <c r="C50" s="92"/>
      <c r="D50" s="92"/>
      <c r="E50" s="92"/>
      <c r="F50" s="92"/>
      <c r="G50" s="92"/>
      <c r="H50" s="92"/>
    </row>
    <row r="51" spans="1:11" ht="15.5" x14ac:dyDescent="0.35">
      <c r="A51" s="13" t="s">
        <v>11</v>
      </c>
      <c r="B51" s="14">
        <v>1</v>
      </c>
      <c r="C51" s="14">
        <v>2</v>
      </c>
      <c r="D51" s="14">
        <v>3</v>
      </c>
      <c r="E51" s="14">
        <v>4</v>
      </c>
      <c r="F51" s="14">
        <v>5</v>
      </c>
      <c r="G51" s="14">
        <v>6</v>
      </c>
      <c r="H51" s="14">
        <v>7</v>
      </c>
      <c r="I51" s="16">
        <v>8</v>
      </c>
    </row>
    <row r="52" spans="1:11" ht="15.5" x14ac:dyDescent="0.35">
      <c r="A52" s="13" t="s">
        <v>12</v>
      </c>
      <c r="B52" s="21">
        <f>$F$23/F18</f>
        <v>3.5026269702276709</v>
      </c>
      <c r="C52" s="21">
        <f>$B$52*C53</f>
        <v>4.0630472854640978</v>
      </c>
      <c r="D52" s="21">
        <f t="shared" ref="D52:I52" si="0">$B$52*D53</f>
        <v>4.7285464098073557</v>
      </c>
      <c r="E52" s="21">
        <f t="shared" si="0"/>
        <v>5.4991243432574439</v>
      </c>
      <c r="F52" s="21">
        <f t="shared" si="0"/>
        <v>6.0595446584938708</v>
      </c>
      <c r="G52" s="21">
        <f t="shared" si="0"/>
        <v>6.6549912434325744</v>
      </c>
      <c r="H52" s="21">
        <f t="shared" si="0"/>
        <v>7.1103327495621711</v>
      </c>
      <c r="I52" s="21">
        <f t="shared" si="0"/>
        <v>7.6007005253940454</v>
      </c>
    </row>
    <row r="53" spans="1:11" ht="15.5" x14ac:dyDescent="0.35">
      <c r="A53" s="13" t="s">
        <v>13</v>
      </c>
      <c r="B53" s="51">
        <v>1</v>
      </c>
      <c r="C53" s="52">
        <v>1.1599999999999999</v>
      </c>
      <c r="D53" s="52">
        <v>1.35</v>
      </c>
      <c r="E53" s="52">
        <v>1.57</v>
      </c>
      <c r="F53" s="52">
        <v>1.73</v>
      </c>
      <c r="G53" s="52">
        <v>1.9</v>
      </c>
      <c r="H53" s="52">
        <v>2.0299999999999998</v>
      </c>
      <c r="I53" s="52">
        <v>2.17</v>
      </c>
    </row>
    <row r="54" spans="1:11" ht="11.9" customHeight="1" x14ac:dyDescent="0.35">
      <c r="A54" s="53"/>
      <c r="B54" s="55"/>
      <c r="C54" s="56"/>
      <c r="D54" s="56"/>
      <c r="E54" s="56"/>
      <c r="F54" s="56"/>
      <c r="G54" s="56"/>
      <c r="H54" s="56"/>
      <c r="I54" s="56"/>
      <c r="J54" s="38"/>
    </row>
    <row r="55" spans="1:11" ht="15.5" x14ac:dyDescent="0.35">
      <c r="A55" s="85" t="s">
        <v>40</v>
      </c>
      <c r="B55" s="85"/>
      <c r="C55" s="85"/>
      <c r="D55" s="85"/>
      <c r="E55" s="85"/>
      <c r="F55" s="85"/>
      <c r="G55" s="85"/>
      <c r="H55" s="85"/>
      <c r="I55" s="85"/>
    </row>
    <row r="56" spans="1:11" ht="32.75" customHeight="1" x14ac:dyDescent="0.35">
      <c r="A56" s="93" t="s">
        <v>14</v>
      </c>
      <c r="B56" s="93" t="s">
        <v>15</v>
      </c>
      <c r="C56" s="93"/>
      <c r="D56" s="93"/>
      <c r="E56" s="93"/>
      <c r="F56" s="93" t="s">
        <v>16</v>
      </c>
      <c r="G56" s="93"/>
      <c r="H56" s="39"/>
      <c r="I56" s="39"/>
    </row>
    <row r="57" spans="1:11" ht="36.5" customHeight="1" x14ac:dyDescent="0.35">
      <c r="A57" s="93"/>
      <c r="B57" s="94" t="s">
        <v>17</v>
      </c>
      <c r="C57" s="93" t="s">
        <v>68</v>
      </c>
      <c r="D57" s="93"/>
      <c r="E57" s="94" t="s">
        <v>18</v>
      </c>
      <c r="F57" s="93" t="s">
        <v>57</v>
      </c>
      <c r="G57" s="93" t="s">
        <v>19</v>
      </c>
      <c r="H57" s="39"/>
      <c r="I57" s="39"/>
    </row>
    <row r="58" spans="1:11" ht="48.9" customHeight="1" x14ac:dyDescent="0.35">
      <c r="A58" s="93"/>
      <c r="B58" s="94"/>
      <c r="C58" s="54" t="s">
        <v>20</v>
      </c>
      <c r="D58" s="54" t="s">
        <v>21</v>
      </c>
      <c r="E58" s="94"/>
      <c r="F58" s="93"/>
      <c r="G58" s="93"/>
      <c r="H58" s="39"/>
      <c r="I58" s="39"/>
    </row>
    <row r="59" spans="1:11" x14ac:dyDescent="0.35">
      <c r="A59" s="35" t="s">
        <v>22</v>
      </c>
      <c r="B59" s="35"/>
      <c r="C59" s="35"/>
      <c r="D59" s="35"/>
      <c r="E59" s="35"/>
      <c r="F59" s="35"/>
      <c r="G59" s="35"/>
      <c r="H59" s="39"/>
      <c r="I59" s="39"/>
    </row>
    <row r="60" spans="1:11" x14ac:dyDescent="0.35">
      <c r="A60" s="12" t="s">
        <v>36</v>
      </c>
      <c r="B60" s="36">
        <f>F35</f>
        <v>8</v>
      </c>
      <c r="C60" s="36">
        <f>F28</f>
        <v>2</v>
      </c>
      <c r="D60" s="37">
        <f>C60*F25</f>
        <v>4</v>
      </c>
      <c r="E60" s="36">
        <f>$I$60*D60</f>
        <v>4.7407407407407405</v>
      </c>
      <c r="F60" s="36">
        <f>$F$17*E60</f>
        <v>8120.8888888888887</v>
      </c>
      <c r="G60" s="36">
        <f>F60*I52</f>
        <v>61724.444444444445</v>
      </c>
      <c r="H60" s="40" t="s">
        <v>112</v>
      </c>
      <c r="I60" s="40">
        <f>F8/F14</f>
        <v>1.1851851851851851</v>
      </c>
    </row>
    <row r="61" spans="1:11" x14ac:dyDescent="0.35">
      <c r="A61" s="12" t="s">
        <v>23</v>
      </c>
      <c r="B61" s="36">
        <f>F36</f>
        <v>3</v>
      </c>
      <c r="C61" s="36">
        <f>F29</f>
        <v>3</v>
      </c>
      <c r="D61" s="37">
        <f>C61*F25</f>
        <v>6</v>
      </c>
      <c r="E61" s="36">
        <f>$I$60*D61</f>
        <v>7.1111111111111107</v>
      </c>
      <c r="F61" s="36">
        <f>$F$17*E61</f>
        <v>12181.333333333332</v>
      </c>
      <c r="G61" s="36">
        <f>F61*D52</f>
        <v>57600</v>
      </c>
      <c r="H61" s="40"/>
      <c r="I61" s="40"/>
    </row>
    <row r="62" spans="1:11" x14ac:dyDescent="0.35">
      <c r="A62" s="33" t="s">
        <v>24</v>
      </c>
      <c r="B62" s="32"/>
      <c r="C62" s="46">
        <f>SUM(C60:C61)</f>
        <v>5</v>
      </c>
      <c r="D62" s="46">
        <f>SUM(D60:D61)</f>
        <v>10</v>
      </c>
      <c r="E62" s="46">
        <f>SUM(E60:E61)</f>
        <v>11.851851851851851</v>
      </c>
      <c r="F62" s="46">
        <f>SUM(F60:F61)</f>
        <v>20302.222222222219</v>
      </c>
      <c r="G62" s="46">
        <f>SUM(G60:G61)</f>
        <v>119324.44444444444</v>
      </c>
      <c r="H62" s="40"/>
      <c r="I62" s="40"/>
    </row>
    <row r="63" spans="1:11" x14ac:dyDescent="0.35">
      <c r="A63" s="35" t="s">
        <v>25</v>
      </c>
      <c r="B63" s="35"/>
      <c r="C63" s="35"/>
      <c r="D63" s="43"/>
      <c r="E63" s="48"/>
      <c r="F63" s="48"/>
      <c r="G63" s="49"/>
      <c r="H63" s="39"/>
      <c r="I63" s="39"/>
    </row>
    <row r="64" spans="1:11" x14ac:dyDescent="0.35">
      <c r="A64" s="33" t="s">
        <v>44</v>
      </c>
      <c r="B64" s="36">
        <f>F37</f>
        <v>5</v>
      </c>
      <c r="C64" s="36">
        <f>F30</f>
        <v>2</v>
      </c>
      <c r="D64" s="37">
        <f>C64*$F$25</f>
        <v>4</v>
      </c>
      <c r="E64" s="36">
        <f>$I$60*D64</f>
        <v>4.7407407407407405</v>
      </c>
      <c r="F64" s="36">
        <f>$F$17*E64</f>
        <v>8120.8888888888887</v>
      </c>
      <c r="G64" s="45">
        <f>F64*F52</f>
        <v>49208.888888888891</v>
      </c>
      <c r="H64" s="40"/>
      <c r="I64" s="41"/>
    </row>
    <row r="65" spans="1:9" x14ac:dyDescent="0.35">
      <c r="A65" s="33" t="s">
        <v>45</v>
      </c>
      <c r="B65" s="36">
        <f>F38</f>
        <v>6</v>
      </c>
      <c r="C65" s="36">
        <f>F31</f>
        <v>2</v>
      </c>
      <c r="D65" s="37">
        <f>C65*$F$25</f>
        <v>4</v>
      </c>
      <c r="E65" s="36">
        <f>$I$60*D65</f>
        <v>4.7407407407407405</v>
      </c>
      <c r="F65" s="36">
        <f>$F$17*E65</f>
        <v>8120.8888888888887</v>
      </c>
      <c r="G65" s="45">
        <f>F65*G52</f>
        <v>54044.444444444445</v>
      </c>
      <c r="H65" s="40"/>
      <c r="I65" s="40"/>
    </row>
    <row r="66" spans="1:9" x14ac:dyDescent="0.35">
      <c r="A66" s="33" t="s">
        <v>24</v>
      </c>
      <c r="B66" s="48"/>
      <c r="C66" s="47">
        <f>SUM(C64:C65)</f>
        <v>4</v>
      </c>
      <c r="D66" s="47">
        <f t="shared" ref="D66:G66" si="1">SUM(D64:D65)</f>
        <v>8</v>
      </c>
      <c r="E66" s="47">
        <f t="shared" si="1"/>
        <v>9.481481481481481</v>
      </c>
      <c r="F66" s="47">
        <f t="shared" si="1"/>
        <v>16241.777777777777</v>
      </c>
      <c r="G66" s="47">
        <f t="shared" si="1"/>
        <v>103253.33333333334</v>
      </c>
      <c r="H66" s="40"/>
      <c r="I66" s="40"/>
    </row>
    <row r="67" spans="1:9" x14ac:dyDescent="0.35">
      <c r="A67" s="35" t="s">
        <v>26</v>
      </c>
      <c r="B67" s="35"/>
      <c r="C67" s="35"/>
      <c r="D67" s="43"/>
      <c r="E67" s="48"/>
      <c r="F67" s="48"/>
      <c r="G67" s="44"/>
      <c r="H67" s="39"/>
      <c r="I67" s="39"/>
    </row>
    <row r="68" spans="1:9" x14ac:dyDescent="0.35">
      <c r="A68" s="33" t="s">
        <v>46</v>
      </c>
      <c r="B68" s="36">
        <f>F39</f>
        <v>2</v>
      </c>
      <c r="C68" s="36">
        <f>F32</f>
        <v>3</v>
      </c>
      <c r="D68" s="37">
        <f>C68*2</f>
        <v>6</v>
      </c>
      <c r="E68" s="36">
        <f>$I$60*D68</f>
        <v>7.1111111111111107</v>
      </c>
      <c r="F68" s="36">
        <f>$F$17*E68</f>
        <v>12181.333333333332</v>
      </c>
      <c r="G68" s="45">
        <f>F68*C52</f>
        <v>49493.333333333321</v>
      </c>
      <c r="H68" s="40"/>
      <c r="I68" s="40"/>
    </row>
    <row r="69" spans="1:9" x14ac:dyDescent="0.35">
      <c r="A69" s="33" t="s">
        <v>47</v>
      </c>
      <c r="B69" s="36">
        <f>F40</f>
        <v>2</v>
      </c>
      <c r="C69" s="36">
        <f>F33</f>
        <v>3</v>
      </c>
      <c r="D69" s="37">
        <f>C69*2</f>
        <v>6</v>
      </c>
      <c r="E69" s="36">
        <f>$I$60*D69</f>
        <v>7.1111111111111107</v>
      </c>
      <c r="F69" s="36">
        <f>$F$17*E69</f>
        <v>12181.333333333332</v>
      </c>
      <c r="G69" s="45">
        <f>F69*C52</f>
        <v>49493.333333333321</v>
      </c>
      <c r="H69" s="40"/>
      <c r="I69" s="40"/>
    </row>
    <row r="70" spans="1:9" x14ac:dyDescent="0.35">
      <c r="A70" s="33" t="s">
        <v>24</v>
      </c>
      <c r="B70" s="32"/>
      <c r="C70" s="46">
        <f>SUM(C68:C69)</f>
        <v>6</v>
      </c>
      <c r="D70" s="46">
        <f t="shared" ref="D70:G70" si="2">SUM(D68:D69)</f>
        <v>12</v>
      </c>
      <c r="E70" s="46">
        <f t="shared" si="2"/>
        <v>14.222222222222221</v>
      </c>
      <c r="F70" s="46">
        <f t="shared" si="2"/>
        <v>24362.666666666664</v>
      </c>
      <c r="G70" s="46">
        <f t="shared" si="2"/>
        <v>98986.666666666642</v>
      </c>
      <c r="H70" s="40"/>
      <c r="I70" s="40"/>
    </row>
    <row r="71" spans="1:9" x14ac:dyDescent="0.35">
      <c r="A71" s="33" t="s">
        <v>48</v>
      </c>
      <c r="B71" s="32"/>
      <c r="C71" s="50">
        <f>SUM(C62,C66,C70)</f>
        <v>15</v>
      </c>
      <c r="D71" s="50">
        <f t="shared" ref="D71:G71" si="3">SUM(D62,D66,D70)</f>
        <v>30</v>
      </c>
      <c r="E71" s="50">
        <f t="shared" si="3"/>
        <v>35.555555555555557</v>
      </c>
      <c r="F71" s="50">
        <f t="shared" si="3"/>
        <v>60906.666666666664</v>
      </c>
      <c r="G71" s="50">
        <f t="shared" si="3"/>
        <v>321564.44444444444</v>
      </c>
      <c r="H71" s="40"/>
      <c r="I71" s="40"/>
    </row>
    <row r="72" spans="1:9" x14ac:dyDescent="0.35">
      <c r="H72" s="42"/>
      <c r="I72" s="42"/>
    </row>
    <row r="73" spans="1:9" ht="15.5" x14ac:dyDescent="0.35">
      <c r="A73" s="84" t="s">
        <v>61</v>
      </c>
      <c r="B73" s="84"/>
      <c r="C73" s="84"/>
      <c r="D73" s="84"/>
    </row>
    <row r="74" spans="1:9" ht="14.5" customHeight="1" x14ac:dyDescent="0.35">
      <c r="A74" s="93" t="s">
        <v>60</v>
      </c>
      <c r="B74" s="89" t="s">
        <v>28</v>
      </c>
      <c r="C74" s="90"/>
      <c r="D74" s="91"/>
      <c r="E74" s="30"/>
      <c r="F74" s="30"/>
    </row>
    <row r="75" spans="1:9" ht="48.4" customHeight="1" x14ac:dyDescent="0.35">
      <c r="A75" s="93"/>
      <c r="B75" s="5" t="s">
        <v>59</v>
      </c>
      <c r="C75" s="5" t="s">
        <v>29</v>
      </c>
      <c r="D75" s="5" t="s">
        <v>30</v>
      </c>
      <c r="E75" s="31"/>
      <c r="F75" s="34"/>
    </row>
    <row r="76" spans="1:9" ht="18.5" x14ac:dyDescent="0.35">
      <c r="A76" s="4" t="s">
        <v>89</v>
      </c>
      <c r="B76" s="10">
        <f>G62</f>
        <v>119324.44444444444</v>
      </c>
      <c r="C76" s="10">
        <f>G66</f>
        <v>103253.33333333334</v>
      </c>
      <c r="D76" s="10">
        <f>G70</f>
        <v>98986.666666666642</v>
      </c>
      <c r="E76" s="31"/>
      <c r="F76" s="3"/>
    </row>
    <row r="77" spans="1:9" ht="14.5" customHeight="1" x14ac:dyDescent="0.35">
      <c r="A77" s="4" t="s">
        <v>90</v>
      </c>
      <c r="B77" s="10">
        <f>B76*$F$24/100</f>
        <v>53696</v>
      </c>
      <c r="C77" s="10">
        <f t="shared" ref="C77:D77" si="4">C76*$F$24/100</f>
        <v>46464</v>
      </c>
      <c r="D77" s="10">
        <f t="shared" si="4"/>
        <v>44543.999999999993</v>
      </c>
      <c r="E77" s="31"/>
      <c r="F77" s="3"/>
    </row>
    <row r="78" spans="1:9" ht="15.5" x14ac:dyDescent="0.35">
      <c r="A78" s="4" t="s">
        <v>91</v>
      </c>
      <c r="B78" s="10">
        <f>B76/3*20/100</f>
        <v>7954.9629629629617</v>
      </c>
      <c r="C78" s="10">
        <f t="shared" ref="C78:D78" si="5">C76/3*20/100</f>
        <v>6883.5555555555566</v>
      </c>
      <c r="D78" s="10">
        <f t="shared" si="5"/>
        <v>6599.1111111111104</v>
      </c>
      <c r="E78" s="95"/>
      <c r="F78" s="96"/>
    </row>
    <row r="79" spans="1:9" ht="15.5" x14ac:dyDescent="0.35">
      <c r="A79" s="4" t="s">
        <v>92</v>
      </c>
      <c r="B79" s="10"/>
      <c r="C79" s="10"/>
      <c r="D79" s="10"/>
      <c r="E79" s="95"/>
      <c r="F79" s="96"/>
    </row>
    <row r="80" spans="1:9" ht="17.25" customHeight="1" x14ac:dyDescent="0.35">
      <c r="A80" s="4" t="s">
        <v>95</v>
      </c>
      <c r="B80" s="59">
        <f>SUM(B76:B79)</f>
        <v>180975.40740740739</v>
      </c>
      <c r="C80" s="59">
        <f t="shared" ref="C80:D80" si="6">SUM(C76:C79)</f>
        <v>156600.88888888891</v>
      </c>
      <c r="D80" s="59">
        <f t="shared" si="6"/>
        <v>150129.77777777775</v>
      </c>
      <c r="E80" s="31"/>
      <c r="F80" s="3"/>
    </row>
    <row r="81" spans="1:7" ht="17.25" customHeight="1" x14ac:dyDescent="0.35">
      <c r="A81" s="4" t="s">
        <v>93</v>
      </c>
      <c r="B81" s="62">
        <f>($F$10+$F$13)/$F$14*100</f>
        <v>16.203703703703702</v>
      </c>
      <c r="C81" s="62">
        <f t="shared" ref="C81:D81" si="7">($F$10+$F$13)/$F$14*100</f>
        <v>16.203703703703702</v>
      </c>
      <c r="D81" s="62">
        <f t="shared" si="7"/>
        <v>16.203703703703702</v>
      </c>
      <c r="E81" s="31"/>
      <c r="F81" s="3"/>
    </row>
    <row r="82" spans="1:7" ht="16.149999999999999" customHeight="1" x14ac:dyDescent="0.35">
      <c r="A82" s="4" t="s">
        <v>94</v>
      </c>
      <c r="B82" s="59">
        <f>B76*B81/100</f>
        <v>19334.97942386831</v>
      </c>
      <c r="C82" s="59">
        <f t="shared" ref="C82:D82" si="8">C76*C81/100</f>
        <v>16730.864197530864</v>
      </c>
      <c r="D82" s="59">
        <f t="shared" si="8"/>
        <v>16039.506172839501</v>
      </c>
      <c r="E82" s="31"/>
      <c r="F82" s="3"/>
    </row>
    <row r="83" spans="1:7" ht="15.5" x14ac:dyDescent="0.35">
      <c r="A83" s="58" t="s">
        <v>96</v>
      </c>
      <c r="B83" s="78">
        <f>SUM(B80,B82)</f>
        <v>200310.38683127571</v>
      </c>
      <c r="C83" s="78">
        <f t="shared" ref="C83:D83" si="9">SUM(C80,C82)</f>
        <v>173331.75308641978</v>
      </c>
      <c r="D83" s="78">
        <f t="shared" si="9"/>
        <v>166169.28395061725</v>
      </c>
      <c r="E83" s="30"/>
      <c r="F83" s="30"/>
    </row>
    <row r="85" spans="1:7" ht="15.5" x14ac:dyDescent="0.35">
      <c r="A85" s="85" t="s">
        <v>62</v>
      </c>
      <c r="B85" s="85"/>
      <c r="C85" s="85"/>
      <c r="D85" s="85"/>
      <c r="E85" s="85"/>
      <c r="F85" s="85"/>
      <c r="G85" s="85"/>
    </row>
    <row r="86" spans="1:7" ht="26.9" customHeight="1" x14ac:dyDescent="0.35">
      <c r="A86" s="5" t="s">
        <v>65</v>
      </c>
      <c r="B86" s="94" t="s">
        <v>31</v>
      </c>
      <c r="C86" s="93" t="s">
        <v>64</v>
      </c>
      <c r="D86" s="89" t="s">
        <v>28</v>
      </c>
      <c r="E86" s="90"/>
      <c r="F86" s="90"/>
      <c r="G86" s="91"/>
    </row>
    <row r="87" spans="1:7" ht="53.75" customHeight="1" x14ac:dyDescent="0.35">
      <c r="A87" s="5"/>
      <c r="B87" s="94"/>
      <c r="C87" s="93"/>
      <c r="D87" s="7" t="s">
        <v>63</v>
      </c>
      <c r="E87" s="7" t="s">
        <v>101</v>
      </c>
      <c r="F87" s="7" t="s">
        <v>100</v>
      </c>
      <c r="G87" s="7" t="s">
        <v>32</v>
      </c>
    </row>
    <row r="88" spans="1:7" ht="15.5" x14ac:dyDescent="0.35">
      <c r="A88" s="61" t="s">
        <v>33</v>
      </c>
      <c r="B88" s="10">
        <f>F42</f>
        <v>1</v>
      </c>
      <c r="C88" s="10">
        <f>F46</f>
        <v>2180</v>
      </c>
      <c r="D88" s="8">
        <f>C88*B88*12</f>
        <v>26160</v>
      </c>
      <c r="E88" s="10">
        <f>D88*$F$24/100</f>
        <v>11772</v>
      </c>
      <c r="F88" s="10">
        <f>$B$81*D88/100</f>
        <v>4238.8888888888887</v>
      </c>
      <c r="G88" s="10">
        <f>SUM(D88:F88)</f>
        <v>42170.888888888891</v>
      </c>
    </row>
    <row r="89" spans="1:7" ht="15.5" x14ac:dyDescent="0.35">
      <c r="A89" s="4" t="s">
        <v>34</v>
      </c>
      <c r="B89" s="10">
        <f t="shared" ref="B89:B90" si="10">F43</f>
        <v>2</v>
      </c>
      <c r="C89" s="10">
        <f t="shared" ref="C89:C90" si="11">F47</f>
        <v>1800</v>
      </c>
      <c r="D89" s="8">
        <f t="shared" ref="D89:D90" si="12">C89*B89*12</f>
        <v>43200</v>
      </c>
      <c r="E89" s="10">
        <f t="shared" ref="E89:E90" si="13">D89*$F$24/100</f>
        <v>19440</v>
      </c>
      <c r="F89" s="10">
        <f t="shared" ref="F89:F90" si="14">$B$81*D89/100</f>
        <v>7000</v>
      </c>
      <c r="G89" s="10">
        <f t="shared" ref="G89:G90" si="15">SUM(D89:F89)</f>
        <v>69640</v>
      </c>
    </row>
    <row r="90" spans="1:7" ht="15.5" x14ac:dyDescent="0.35">
      <c r="A90" s="4" t="s">
        <v>35</v>
      </c>
      <c r="B90" s="10">
        <f t="shared" si="10"/>
        <v>3</v>
      </c>
      <c r="C90" s="10">
        <f t="shared" si="11"/>
        <v>1750</v>
      </c>
      <c r="D90" s="8">
        <f t="shared" si="12"/>
        <v>63000</v>
      </c>
      <c r="E90" s="10">
        <f t="shared" si="13"/>
        <v>28350</v>
      </c>
      <c r="F90" s="10">
        <f t="shared" si="14"/>
        <v>10208.333333333332</v>
      </c>
      <c r="G90" s="10">
        <f t="shared" si="15"/>
        <v>101558.33333333333</v>
      </c>
    </row>
    <row r="91" spans="1:7" ht="15.5" x14ac:dyDescent="0.35">
      <c r="A91" s="4" t="s">
        <v>27</v>
      </c>
      <c r="B91" s="59">
        <f>SUM(B88:B90)</f>
        <v>6</v>
      </c>
      <c r="C91" s="17"/>
      <c r="D91" s="59">
        <f>SUM(D88:D90)</f>
        <v>132360</v>
      </c>
      <c r="E91" s="59">
        <f t="shared" ref="E91:G91" si="16">SUM(E88:E90)</f>
        <v>59562</v>
      </c>
      <c r="F91" s="59">
        <f t="shared" si="16"/>
        <v>21447.222222222219</v>
      </c>
      <c r="G91" s="59">
        <f t="shared" si="16"/>
        <v>213369.22222222222</v>
      </c>
    </row>
    <row r="93" spans="1:7" ht="15.5" x14ac:dyDescent="0.35">
      <c r="A93" s="63" t="s">
        <v>69</v>
      </c>
    </row>
    <row r="94" spans="1:7" ht="15.5" x14ac:dyDescent="0.35">
      <c r="A94" s="64" t="s">
        <v>70</v>
      </c>
      <c r="B94" s="6" t="s">
        <v>1</v>
      </c>
    </row>
    <row r="95" spans="1:7" ht="15.5" x14ac:dyDescent="0.35">
      <c r="A95" s="64" t="s">
        <v>72</v>
      </c>
      <c r="B95" s="65">
        <f>SUM(G91,B83:D83)</f>
        <v>753180.64609053498</v>
      </c>
    </row>
    <row r="96" spans="1:7" ht="15.5" x14ac:dyDescent="0.35">
      <c r="A96" s="64" t="s">
        <v>73</v>
      </c>
      <c r="B96" s="65">
        <f>SUM(B91,E71)</f>
        <v>41.555555555555557</v>
      </c>
    </row>
    <row r="97" spans="1:2" ht="15.5" x14ac:dyDescent="0.35">
      <c r="A97" s="64" t="s">
        <v>74</v>
      </c>
      <c r="B97" s="66">
        <f>B95/B96</f>
        <v>18124.667954050306</v>
      </c>
    </row>
    <row r="98" spans="1:2" ht="15.5" x14ac:dyDescent="0.35">
      <c r="A98" s="64" t="s">
        <v>75</v>
      </c>
      <c r="B98" s="66">
        <f>B97/12</f>
        <v>1510.3889961708589</v>
      </c>
    </row>
    <row r="99" spans="1:2" ht="19.899999999999999" customHeight="1" x14ac:dyDescent="0.35">
      <c r="A99" s="64" t="s">
        <v>76</v>
      </c>
      <c r="B99" s="66">
        <f>F26/B96</f>
        <v>924.5454545454545</v>
      </c>
    </row>
    <row r="100" spans="1:2" ht="29.5" customHeight="1" x14ac:dyDescent="0.35">
      <c r="A100" s="64" t="s">
        <v>109</v>
      </c>
      <c r="B100" s="66">
        <f>B99/F14</f>
        <v>4.2803030303030303</v>
      </c>
    </row>
    <row r="101" spans="1:2" ht="15.5" x14ac:dyDescent="0.35">
      <c r="A101" s="64" t="s">
        <v>77</v>
      </c>
      <c r="B101" s="66">
        <f>B100/8</f>
        <v>0.53503787878787878</v>
      </c>
    </row>
  </sheetData>
  <mergeCells count="23">
    <mergeCell ref="B86:B87"/>
    <mergeCell ref="C86:C87"/>
    <mergeCell ref="E78:E79"/>
    <mergeCell ref="F78:F79"/>
    <mergeCell ref="A74:A75"/>
    <mergeCell ref="D86:G86"/>
    <mergeCell ref="B74:D74"/>
    <mergeCell ref="A73:D73"/>
    <mergeCell ref="A85:G85"/>
    <mergeCell ref="A3:K3"/>
    <mergeCell ref="B4:K4"/>
    <mergeCell ref="A50:H50"/>
    <mergeCell ref="A20:H20"/>
    <mergeCell ref="B21:K21"/>
    <mergeCell ref="A55:I55"/>
    <mergeCell ref="B56:E56"/>
    <mergeCell ref="F56:G56"/>
    <mergeCell ref="A56:A58"/>
    <mergeCell ref="B57:B58"/>
    <mergeCell ref="C57:D57"/>
    <mergeCell ref="E57:E58"/>
    <mergeCell ref="F57:F58"/>
    <mergeCell ref="G57:G58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>
      <selection activeCell="A14" sqref="A14"/>
    </sheetView>
  </sheetViews>
  <sheetFormatPr defaultRowHeight="14.5" x14ac:dyDescent="0.35"/>
  <cols>
    <col min="1" max="1" width="110.26953125" customWidth="1"/>
  </cols>
  <sheetData>
    <row r="1" spans="1:1" ht="18.5" x14ac:dyDescent="0.35">
      <c r="A1" s="69" t="s">
        <v>80</v>
      </c>
    </row>
    <row r="2" spans="1:1" ht="18.5" x14ac:dyDescent="0.35">
      <c r="A2" s="74" t="s">
        <v>81</v>
      </c>
    </row>
    <row r="3" spans="1:1" ht="46.5" x14ac:dyDescent="0.35">
      <c r="A3" s="70" t="s">
        <v>82</v>
      </c>
    </row>
    <row r="4" spans="1:1" ht="15.5" x14ac:dyDescent="0.35">
      <c r="A4" s="71"/>
    </row>
    <row r="5" spans="1:1" ht="62" x14ac:dyDescent="0.35">
      <c r="A5" s="72" t="s">
        <v>84</v>
      </c>
    </row>
    <row r="6" spans="1:1" ht="15.5" x14ac:dyDescent="0.35">
      <c r="A6" s="71"/>
    </row>
    <row r="7" spans="1:1" ht="15.5" x14ac:dyDescent="0.35">
      <c r="A7" s="75" t="s">
        <v>85</v>
      </c>
    </row>
    <row r="8" spans="1:1" ht="15.5" x14ac:dyDescent="0.35">
      <c r="A8" s="71"/>
    </row>
    <row r="9" spans="1:1" ht="31" x14ac:dyDescent="0.35">
      <c r="A9" s="76" t="s">
        <v>86</v>
      </c>
    </row>
    <row r="10" spans="1:1" ht="15.5" x14ac:dyDescent="0.35">
      <c r="A10" s="71" t="s">
        <v>107</v>
      </c>
    </row>
    <row r="11" spans="1:1" ht="31" x14ac:dyDescent="0.35">
      <c r="A11" s="70" t="s">
        <v>87</v>
      </c>
    </row>
    <row r="12" spans="1:1" ht="15.5" x14ac:dyDescent="0.35">
      <c r="A12" s="71"/>
    </row>
    <row r="13" spans="1:1" ht="124" x14ac:dyDescent="0.35">
      <c r="A13" s="77" t="s">
        <v>88</v>
      </c>
    </row>
    <row r="14" spans="1:1" ht="66" x14ac:dyDescent="0.35">
      <c r="A14" s="80" t="s">
        <v>98</v>
      </c>
    </row>
    <row r="15" spans="1:1" ht="17.5" x14ac:dyDescent="0.35">
      <c r="A15" s="57" t="s">
        <v>108</v>
      </c>
    </row>
    <row r="16" spans="1:1" ht="93" x14ac:dyDescent="0.35">
      <c r="A16" s="79" t="s">
        <v>99</v>
      </c>
    </row>
    <row r="17" spans="1:1" ht="15.5" x14ac:dyDescent="0.35">
      <c r="A17" s="57" t="s">
        <v>97</v>
      </c>
    </row>
    <row r="18" spans="1:1" ht="15.5" x14ac:dyDescent="0.35">
      <c r="A18" s="57" t="s">
        <v>111</v>
      </c>
    </row>
    <row r="19" spans="1:1" ht="77.5" x14ac:dyDescent="0.35">
      <c r="A19" s="81" t="s">
        <v>105</v>
      </c>
    </row>
    <row r="21" spans="1:1" ht="46.5" x14ac:dyDescent="0.35">
      <c r="A21" s="73" t="s">
        <v>106</v>
      </c>
    </row>
    <row r="22" spans="1:1" ht="17.5" x14ac:dyDescent="0.45">
      <c r="A22" s="83" t="s">
        <v>102</v>
      </c>
    </row>
    <row r="23" spans="1:1" ht="17.5" x14ac:dyDescent="0.45">
      <c r="A23" s="83" t="s">
        <v>103</v>
      </c>
    </row>
    <row r="24" spans="1:1" ht="33" x14ac:dyDescent="0.35">
      <c r="A24" s="82" t="s">
        <v>104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 исх данные, решение 1</vt:lpstr>
      <vt:lpstr>Порядок работы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Егор Коробов</cp:lastModifiedBy>
  <dcterms:created xsi:type="dcterms:W3CDTF">2024-02-22T06:33:23Z</dcterms:created>
  <dcterms:modified xsi:type="dcterms:W3CDTF">2026-03-27T06:31:29Z</dcterms:modified>
</cp:coreProperties>
</file>